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32a36d6e6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f84dffb2fd94042"/>
    <x:sheet xmlns:r="http://schemas.openxmlformats.org/officeDocument/2006/relationships" name="Studies" sheetId="2" r:id="Ra6457c5e1fb54b8d"/>
    <x:sheet xmlns:r="http://schemas.openxmlformats.org/officeDocument/2006/relationships" name="Evidence Extraction" sheetId="3" r:id="Rceb7e063eb7746f4"/>
    <x:sheet xmlns:r="http://schemas.openxmlformats.org/officeDocument/2006/relationships" name="Quality Appraisal" sheetId="4" r:id="R3880628fd5a143b3"/>
    <x:sheet xmlns:r="http://schemas.openxmlformats.org/officeDocument/2006/relationships" name="Controlled Vocabulary" sheetId="5" r:id="R1dd4c85811074500"/>
    <x:sheet xmlns:r="http://schemas.openxmlformats.org/officeDocument/2006/relationships" name="Summary" sheetId="6" r:id="R11d438375550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4"/>
      <x:color rgb="FF1F4E78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BFF"/>
      </x:patternFill>
    </x:fill>
  </x:fills>
  <x:borders count="19">
    <x:border/>
    <x:border>
      <x:right style="thin">
        <x:color rgb="FF9FBAD0"/>
      </x:right>
    </x:border>
    <x:border>
      <x:left style="thin">
        <x:color rgb="FF9FBAD0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right style="thin">
        <x:color rgb="FF9FBAD0"/>
      </x:right>
      <x:bottom style="thin">
        <x:color rgb="FF9FBAD0"/>
      </x:bottom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top style="thin">
        <x:color rgb="FF9FBAD0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5" fillId="3" borderId="14" xfId="0" applyNumberFormat="1" applyFont="1" applyFill="1" applyBorder="1"/>
    <x:xf numFmtId="0" fontId="5" fillId="3" borderId="16" xfId="0" applyNumberFormat="1" applyFont="1" applyFill="1" applyBorder="1"/>
    <x:xf numFmtId="0" fontId="5" fillId="3" borderId="18" xfId="0" applyNumberFormat="1" applyFont="1" applyFill="1" applyBorder="1"/>
    <x:xf numFmtId="200" fontId="5" fillId="3" borderId="14" xfId="0" applyNumberFormat="1" applyFont="1" applyFill="1" applyBorder="1"/>
    <x:xf numFmtId="200" fontId="5" fillId="3" borderId="16" xfId="0" applyNumberFormat="1" applyFont="1" applyFill="1" applyBorder="1"/>
    <x:xf numFmtId="200" fontId="5" fillId="3" borderId="18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8696B"/>
        </x:patternFill>
      </x:fill>
    </x:dxf>
    <x:dxf>
      <x:font>
        <x:color rgb="FF7F6000"/>
      </x:font>
      <x:fill>
        <x:patternFill>
          <x:bgColor rgb="FFFFEB84"/>
        </x:patternFill>
      </x:fill>
    </x:dxf>
    <x:dxf>
      <x:font>
        <x:color rgb="FF375623"/>
      </x:font>
      <x:fill>
        <x:patternFill>
          <x:bgColor rgb="FF63BE7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1fc361c4e496e" /><Relationship Type="http://schemas.openxmlformats.org/officeDocument/2006/relationships/theme" Target="/xl/theme/theme1.xml" Id="Rf00a3c5efa03413d" /><Relationship Type="http://schemas.openxmlformats.org/officeDocument/2006/relationships/sharedStrings" Target="/xl/sharedStrings.xml" Id="R9e25743c4d5345c9" /><Relationship Type="http://schemas.openxmlformats.org/officeDocument/2006/relationships/worksheet" Target="/xl/worksheets/sheet1.xml" Id="R4f84dffb2fd94042" /><Relationship Type="http://schemas.openxmlformats.org/officeDocument/2006/relationships/worksheet" Target="/xl/worksheets/sheet2.xml" Id="Ra6457c5e1fb54b8d" /><Relationship Type="http://schemas.openxmlformats.org/officeDocument/2006/relationships/worksheet" Target="/xl/worksheets/sheet3.xml" Id="Rceb7e063eb7746f4" /><Relationship Type="http://schemas.openxmlformats.org/officeDocument/2006/relationships/worksheet" Target="/xl/worksheets/sheet4.xml" Id="R3880628fd5a143b3" /><Relationship Type="http://schemas.openxmlformats.org/officeDocument/2006/relationships/worksheet" Target="/xl/worksheets/sheet5.xml" Id="R1dd4c85811074500" /><Relationship Type="http://schemas.openxmlformats.org/officeDocument/2006/relationships/worksheet" Target="/xl/worksheets/sheet6.xml" Id="R11d438375550420d" /></Relationships>
</file>

<file path=xl/tables/table1.xml><?xml version="1.0" encoding="utf-8"?>
<x:table xmlns:x="http://schemas.openxmlformats.org/spreadsheetml/2006/main" id="1" name="StudiesTable" displayName="StudiesTable" ref="A1:X209" headerRowCount="1" totalsRowCount="0" totalsRowShown="0">
  <x:autoFilter ref="A1:X209"/>
  <x:tableColumns count="24">
    <x:tableColumn id="1" name="Study ID"/>
    <x:tableColumn id="2" name="Citation Key"/>
    <x:tableColumn id="3" name="DOI"/>
    <x:tableColumn id="4" name="Title"/>
    <x:tableColumn id="5" name="Year"/>
    <x:tableColumn id="6" name="First Author"/>
    <x:tableColumn id="7" name="Venue"/>
    <x:tableColumn id="8" name="Publication Type"/>
    <x:tableColumn id="9" name="Topic"/>
    <x:tableColumn id="10" name="Platform Type"/>
    <x:tableColumn id="11" name="Estimation Method"/>
    <x:tableColumn id="12" name="Detection Method"/>
    <x:tableColumn id="13" name="Control Method"/>
    <x:tableColumn id="14" name="Fault Type"/>
    <x:tableColumn id="15" name="Validation Level"/>
    <x:tableColumn id="16" name="Dataset / Scenario"/>
    <x:tableColumn id="17" name="Sample / Trial Count"/>
    <x:tableColumn id="18" name="Comparator"/>
    <x:tableColumn id="19" name="Inclusion Decision"/>
    <x:tableColumn id="20" name="Zotero URI"/>
    <x:tableColumn id="21" name="Source URL"/>
    <x:tableColumn id="22" name="Reviewer"/>
    <x:tableColumn id="23" name="Extraction Date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1:R301" headerRowCount="1" totalsRowCount="0" totalsRowShown="0">
  <x:autoFilter ref="A1:R301"/>
  <x:tableColumns count="18">
    <x:tableColumn id="1" name="Finding ID"/>
    <x:tableColumn id="2" name="Study ID"/>
    <x:tableColumn id="3" name="Review Objective / Claim"/>
    <x:tableColumn id="4" name="Metric"/>
    <x:tableColumn id="5" name="Reported Value"/>
    <x:tableColumn id="6" name="Unit"/>
    <x:tableColumn id="7" name="Uncertainty"/>
    <x:tableColumn id="8" name="Sample / Trial Count"/>
    <x:tableColumn id="9" name="Baseline / Comparator"/>
    <x:tableColumn id="10" name="Direction"/>
    <x:tableColumn id="11" name="Evidence Type"/>
    <x:tableColumn id="12" name="Source Locator"/>
    <x:tableColumn id="13" name="Paraphrased Finding"/>
    <x:tableColumn id="14" name="Reviewer Interpretation"/>
    <x:tableColumn id="15" name="Limitation"/>
    <x:tableColumn id="16" name="Applicability to UAV-FMS"/>
    <x:tableColumn id="17" name="Reviewer"/>
    <x:tableColumn id="18" name="Extraction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Table" displayName="QualityTable" ref="A1:N201" headerRowCount="1" totalsRowCount="0" totalsRowShown="0">
  <x:autoFilter ref="A1:N201"/>
  <x:tableColumns count="14">
    <x:tableColumn id="1" name="Study ID"/>
    <x:tableColumn id="2" name="Objective Clear"/>
    <x:tableColumn id="3" name="Method Reproducible"/>
    <x:tableColumn id="4" name="Dataset / Scenario Described"/>
    <x:tableColumn id="5" name="Comparator Appropriate"/>
    <x:tableColumn id="6" name="Metrics Appropriate"/>
    <x:tableColumn id="7" name="Uncertainty Reported"/>
    <x:tableColumn id="8" name="Limitations Reported"/>
    <x:tableColumn id="9" name="Validation Realism"/>
    <x:tableColumn id="10" name="Direct Relevance"/>
    <x:tableColumn id="11" name="Quality Score"/>
    <x:tableColumn id="12" name="Appraisal Notes"/>
    <x:tableColumn id="13" name="Reviewer"/>
    <x:tableColumn id="14" name="Appraisal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ocabularyTable" displayName="VocabularyTable" ref="A1:C30" headerRowCount="1" totalsRowCount="0" totalsRowShown="0">
  <x:autoFilter ref="A1:C30"/>
  <x:tableColumns count="3">
    <x:tableColumn id="1" name="Category"/>
    <x:tableColumn id="2" name="Value"/>
    <x:tableColumn id="3" name="Definition / usag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4b99ab1b4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b42b6e17d347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95d5ed417048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6b75e3a17a42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3" t="str">
        <x:v>Evidence Matrix — UAV-FMS Literature Review</x:v>
      </x:c>
      <x:c r="B1" s="3"/>
      <x:c r="C1" s="3"/>
      <x:c r="D1" s="3"/>
      <x:c r="E1" s="3"/>
      <x:c r="F1" s="3"/>
    </x:row>
    <x:row r="3" ht="36" customHeight="1">
      <x:c r="A3" s="7" t="str">
        <x:v>Purpose: structured, source-located extraction of prior-work evidence. Zotero remains the bibliographic source of truth.</x:v>
      </x:c>
      <x:c r="B3" s="7"/>
      <x:c r="C3" s="7"/>
      <x:c r="D3" s="7"/>
      <x:c r="E3" s="7"/>
      <x:c r="F3" s="7"/>
    </x:row>
    <x:row r="5">
      <x:c r="A5" s="13" t="str">
        <x:v>Step</x:v>
      </x:c>
      <x:c r="B5" s="14" t="str">
        <x:v>Required action</x:v>
      </x:c>
    </x:row>
    <x:row r="6">
      <x:c r="A6" s="27" t="str">
        <x:v>1</x:v>
      </x:c>
      <x:c r="B6" s="28" t="str">
        <x:v>Add one canonical record per included or near-included study to Studies.</x:v>
      </x:c>
    </x:row>
    <x:row r="7">
      <x:c r="A7" s="29" t="str">
        <x:v>2</x:v>
      </x:c>
      <x:c r="B7" s="30" t="str">
        <x:v>Use stable Study IDs (for example, STUDY-0001) and citation keys exported by Better BibTeX.</x:v>
      </x:c>
    </x:row>
    <x:row r="8">
      <x:c r="A8" s="29" t="str">
        <x:v>3</x:v>
      </x:c>
      <x:c r="B8" s="30" t="str">
        <x:v>Add one row per distinct reported finding to Evidence Extraction.</x:v>
      </x:c>
    </x:row>
    <x:row r="9">
      <x:c r="A9" s="29" t="str">
        <x:v>4</x:v>
      </x:c>
      <x:c r="B9" s="30" t="str">
        <x:v>Use a page, section, figure, or table locator for every extracted finding.</x:v>
      </x:c>
    </x:row>
    <x:row r="10">
      <x:c r="A10" s="29" t="str">
        <x:v>5</x:v>
      </x:c>
      <x:c r="B10" s="30" t="str">
        <x:v>Record not_reported rather than inferring missing methods, numbers, units, or uncertainty.</x:v>
      </x:c>
    </x:row>
    <x:row r="11">
      <x:c r="A11" s="31" t="str">
        <x:v>6</x:v>
      </x:c>
      <x:c r="B11" s="32" t="str">
        <x:v>Complete Quality Appraisal for claim-critical studies; the score is a navigation aid only.</x:v>
      </x:c>
    </x:row>
    <x:row r="13" ht="34" customHeight="1">
      <x:c r="A13" s="35" t="str">
        <x:v>Do not paste long copyrighted excerpts, credentials, private Zotero notes, or local PDF paths. Use concise paraphrase plus locator.</x:v>
      </x:c>
      <x:c r="B13" s="35"/>
      <x:c r="C13" s="35"/>
      <x:c r="D13" s="35"/>
      <x:c r="E13" s="35"/>
      <x:c r="F13" s="35"/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8" hidden="0" customWidth="1"/>
    <x:col min="17" max="17" width="28" hidden="0" customWidth="1"/>
    <x:col min="18" max="18" width="28" hidden="0" customWidth="1"/>
    <x:col min="19" max="19" width="18" hidden="0" customWidth="1"/>
    <x:col min="20" max="20" width="30" hidden="0" customWidth="1"/>
    <x:col min="21" max="21" width="30" hidden="0" customWidth="1"/>
    <x:col min="22" max="22" width="16" hidden="0" customWidth="1"/>
    <x:col min="23" max="23" width="16" hidden="0" customWidth="1"/>
    <x:col min="24" max="24" width="36" hidden="0" customWidth="1"/>
  </x:cols>
  <x:sheetData>
    <x:row r="1" ht="36" customHeight="1">
      <x:c r="A1" s="13" t="str">
        <x:v>Study ID</x:v>
      </x:c>
      <x:c r="B1" s="38" t="str">
        <x:v>Citation Key</x:v>
      </x:c>
      <x:c r="C1" s="38" t="str">
        <x:v>DOI</x:v>
      </x:c>
      <x:c r="D1" s="38" t="str">
        <x:v>Title</x:v>
      </x:c>
      <x:c r="E1" s="38" t="str">
        <x:v>Year</x:v>
      </x:c>
      <x:c r="F1" s="38" t="str">
        <x:v>First Author</x:v>
      </x:c>
      <x:c r="G1" s="38" t="str">
        <x:v>Venue</x:v>
      </x:c>
      <x:c r="H1" s="38" t="str">
        <x:v>Publication Type</x:v>
      </x:c>
      <x:c r="I1" s="38" t="str">
        <x:v>Topic</x:v>
      </x:c>
      <x:c r="J1" s="38" t="str">
        <x:v>Platform Type</x:v>
      </x:c>
      <x:c r="K1" s="38" t="str">
        <x:v>Estimation Method</x:v>
      </x:c>
      <x:c r="L1" s="38" t="str">
        <x:v>Detection Method</x:v>
      </x:c>
      <x:c r="M1" s="38" t="str">
        <x:v>Control Method</x:v>
      </x:c>
      <x:c r="N1" s="38" t="str">
        <x:v>Fault Type</x:v>
      </x:c>
      <x:c r="O1" s="38" t="str">
        <x:v>Validation Level</x:v>
      </x:c>
      <x:c r="P1" s="38" t="str">
        <x:v>Dataset / Scenario</x:v>
      </x:c>
      <x:c r="Q1" s="38" t="str">
        <x:v>Sample / Trial Count</x:v>
      </x:c>
      <x:c r="R1" s="38" t="str">
        <x:v>Comparator</x:v>
      </x:c>
      <x:c r="S1" s="38" t="str">
        <x:v>Inclusion Decision</x:v>
      </x:c>
      <x:c r="T1" s="38" t="str">
        <x:v>Zotero URI</x:v>
      </x:c>
      <x:c r="U1" s="38" t="str">
        <x:v>Source URL</x:v>
      </x:c>
      <x:c r="V1" s="38" t="str">
        <x:v>Reviewer</x:v>
      </x:c>
      <x:c r="W1" s="38" t="str">
        <x:v>Extraction Date</x:v>
      </x:c>
      <x:c r="X1" s="14" t="str">
        <x:v>Notes</x:v>
      </x:c>
    </x:row>
    <x:row r="2">
      <x:c r="A2" s="44" t="str">
        <x:v>STUDY-0001</x:v>
      </x:c>
      <x:c r="B2" s="44" t="str"/>
      <x:c r="C2" s="44" t="str"/>
      <x:c r="D2" s="41" t="str">
        <x:v>Adaptive Federated Kalman Filter With Fault Detection for INS/GNSS/VC/SFC Integration in Fixed-Wing UAVs</x:v>
      </x:c>
      <x:c r="E2" s="42" t="n">
        <x:v>2026</x:v>
      </x:c>
      <x:c r="F2" s="41" t="str">
        <x:v>Ramezanifard</x:v>
      </x:c>
      <x:c r="G2" s="41" t="str">
        <x:v>IEEE Sensors Journal</x:v>
      </x:c>
      <x:c r="H2" s="41" t="str">
        <x:v>Journal Article</x:v>
      </x:c>
      <x:c r="I2" s="41" t="str">
        <x:v>Degraded navigation and FDI</x:v>
      </x:c>
      <x:c r="J2" s="41" t="str">
        <x:v>fixed-wing UAV</x:v>
      </x:c>
      <x:c r="K2" s="41" t="str">
        <x:v>Adaptive federated Kalman filter</x:v>
      </x:c>
      <x:c r="L2" s="41" t="str">
        <x:v>Fault detection and isolation</x:v>
      </x:c>
      <x:c r="M2" s="41" t="str">
        <x:v>not_reported</x:v>
      </x:c>
      <x:c r="N2" s="41" t="str">
        <x:v>GNSS outage; velocity-constraint fault</x:v>
      </x:c>
      <x:c r="O2" s="41" t="str">
        <x:v>simulation</x:v>
      </x:c>
      <x:c r="P2" s="41" t="str">
        <x:v>UAV trajectory simulation</x:v>
      </x:c>
      <x:c r="Q2" s="41" t="str">
        <x:v>not_reported</x:v>
      </x:c>
      <x:c r="R2" s="41" t="str">
        <x:v>Classical centralized/federated fusion</x:v>
      </x:c>
      <x:c r="S2" s="41" t="str">
        <x:v>maybe</x:v>
      </x:c>
      <x:c r="T2" s="41" t="str"/>
      <x:c r="U2" s="41" t="str">
        <x:v>https://consensus.app/papers/adaptive-federated-kalman-filter-with-fault-detection-for-ramezanifard-salarieh/36bad0bc5c1e54b49aeff6e31d93cb95/?utm_source=chatgpt</x:v>
      </x:c>
      <x:c r="V2" s="41" t="str">
        <x:v>Codex</x:v>
      </x:c>
      <x:c r="W2" s="43" t="str">
        <x:v>2026-07-28</x:v>
      </x:c>
      <x:c r="X2" s="41" t="str">
        <x:v>Abstract screening only; DOI and full text pending</x:v>
      </x:c>
    </x:row>
    <x:row r="3">
      <x:c r="A3" s="44" t="str">
        <x:v>STUDY-0002</x:v>
      </x:c>
      <x:c r="B3" s="44" t="str"/>
      <x:c r="C3" s="44" t="str">
        <x:v>10.3390/drones9120834</x:v>
      </x:c>
      <x:c r="D3" s="41" t="str">
        <x:v>A Learning-Based Measurement Validation Approach for Cooperative Multi-UAV Navigation Using Kalman Filtering</x:v>
      </x:c>
      <x:c r="E3" s="42" t="n">
        <x:v>2025</x:v>
      </x:c>
      <x:c r="F3" s="41" t="str">
        <x:v>Taşan</x:v>
      </x:c>
      <x:c r="G3" s="41" t="str">
        <x:v>Drones</x:v>
      </x:c>
      <x:c r="H3" s="41" t="str">
        <x:v>Journal Article</x:v>
      </x:c>
      <x:c r="I3" s="41" t="str">
        <x:v>Learned measurement validation</x:v>
      </x:c>
      <x:c r="J3" s="41" t="str">
        <x:v>cooperative multi-UAV</x:v>
      </x:c>
      <x:c r="K3" s="41" t="str">
        <x:v>Kalman filter</x:v>
      </x:c>
      <x:c r="L3" s="41" t="str">
        <x:v>IF; DQN; MLP; LSTM pre-filter</x:v>
      </x:c>
      <x:c r="M3" s="41" t="str">
        <x:v>not_reported</x:v>
      </x:c>
      <x:c r="N3" s="41" t="str">
        <x:v>Degraded network and navigation measurements</x:v>
      </x:c>
      <x:c r="O3" s="41" t="str">
        <x:v>simulation</x:v>
      </x:c>
      <x:c r="P3" s="41" t="str">
        <x:v>Monte Carlo cooperative navigation</x:v>
      </x:c>
      <x:c r="Q3" s="41" t="str">
        <x:v>not_reported</x:v>
      </x:c>
      <x:c r="R3" s="41" t="str">
        <x:v>Innovation filter and learned alternatives</x:v>
      </x:c>
      <x:c r="S3" s="41" t="str">
        <x:v>maybe</x:v>
      </x:c>
      <x:c r="T3" s="41" t="str"/>
      <x:c r="U3" s="41" t="str">
        <x:v>https://consensus.app/papers/a-learningbased-measurement-validation-approach-for-taan-akbulut/6e1f6c018abc5409ae1a169ecab3b1c1/?utm_source=chatgpt</x:v>
      </x:c>
      <x:c r="V3" s="41" t="str">
        <x:v>Codex</x:v>
      </x:c>
      <x:c r="W3" s="43" t="str">
        <x:v>2026-07-28</x:v>
      </x:c>
      <x:c r="X3" s="41" t="str">
        <x:v>Abstract screening only; full text pending</x:v>
      </x:c>
    </x:row>
    <x:row r="4">
      <x:c r="A4" s="44" t="str">
        <x:v>STUDY-0003</x:v>
      </x:c>
      <x:c r="B4" s="44" t="str"/>
      <x:c r="C4" s="44" t="str">
        <x:v>10.1109/TIM.2022.3197775</x:v>
      </x:c>
      <x:c r="D4" s="41" t="str">
        <x:v>A Hybrid Model and Learning-Based Adaptive Navigation Filter</x:v>
      </x:c>
      <x:c r="E4" s="42" t="n">
        <x:v>2022</x:v>
      </x:c>
      <x:c r="F4" s="41" t="str">
        <x:v>Or</x:v>
      </x:c>
      <x:c r="G4" s="41" t="str">
        <x:v>IEEE Transactions on Instrumentation and Measurement</x:v>
      </x:c>
      <x:c r="H4" s="41" t="str">
        <x:v>Journal Article</x:v>
      </x:c>
      <x:c r="I4" s="41" t="str">
        <x:v>Learning-assisted adaptive navigation</x:v>
      </x:c>
      <x:c r="J4" s="41" t="str">
        <x:v>quadrotor</x:v>
      </x:c>
      <x:c r="K4" s="41" t="str">
        <x:v>EKF with learned process-noise covariance</x:v>
      </x:c>
      <x:c r="L4" s="41" t="str">
        <x:v>not_reported</x:v>
      </x:c>
      <x:c r="M4" s="41" t="str">
        <x:v>not_reported</x:v>
      </x:c>
      <x:c r="N4" s="41" t="str">
        <x:v>Dynamics and sensor-noise variation</x:v>
      </x:c>
      <x:c r="O4" s="41" t="str">
        <x:v>flight test</x:v>
      </x:c>
      <x:c r="P4" s="41" t="str">
        <x:v>Quadrotor field experiment</x:v>
      </x:c>
      <x:c r="Q4" s="41" t="str">
        <x:v>not_reported</x:v>
      </x:c>
      <x:c r="R4" s="41" t="str">
        <x:v>Model-based adaptive filters</x:v>
      </x:c>
      <x:c r="S4" s="41" t="str">
        <x:v>maybe</x:v>
      </x:c>
      <x:c r="T4" s="41" t="str"/>
      <x:c r="U4" s="41" t="str">
        <x:v>https://consensus.app/papers/a-hybrid-model-and-learningbased-adaptive-navigation-or-klein/af3ef37aa17b5d449e5a699bc3711cb6/?utm_source=chatgpt</x:v>
      </x:c>
      <x:c r="V4" s="41" t="str">
        <x:v>Codex</x:v>
      </x:c>
      <x:c r="W4" s="43" t="str">
        <x:v>2026-07-28</x:v>
      </x:c>
      <x:c r="X4" s="41" t="str">
        <x:v>Abstract screening only; full text pending</x:v>
      </x:c>
    </x:row>
    <x:row r="5">
      <x:c r="A5" s="44" t="str">
        <x:v>STUDY-0004</x:v>
      </x:c>
      <x:c r="B5" s="44" t="str"/>
      <x:c r="C5" s="44" t="str">
        <x:v>10.1016/j.isatra.2022.01.007</x:v>
      </x:c>
      <x:c r="D5" s="41" t="str">
        <x:v>Data fusion fault tolerant strategy for a quadrotor UAV under sensors and software faults</x:v>
      </x:c>
      <x:c r="E5" s="42" t="n">
        <x:v>2022</x:v>
      </x:c>
      <x:c r="F5" s="41" t="str">
        <x:v>Hamadi</x:v>
      </x:c>
      <x:c r="G5" s="41" t="str">
        <x:v>ISA Transactions</x:v>
      </x:c>
      <x:c r="H5" s="41" t="str">
        <x:v>Journal Article</x:v>
      </x:c>
      <x:c r="I5" s="41" t="str">
        <x:v>Fault-tolerant data fusion</x:v>
      </x:c>
      <x:c r="J5" s="41" t="str">
        <x:v>quadrotor</x:v>
      </x:c>
      <x:c r="K5" s="41" t="str">
        <x:v>Multiple Kalman filters and analytical redundancy</x:v>
      </x:c>
      <x:c r="L5" s="41" t="str">
        <x:v>Weighted-average voter and error detection</x:v>
      </x:c>
      <x:c r="M5" s="41" t="str">
        <x:v>Recovery through alternate estimates</x:v>
      </x:c>
      <x:c r="N5" s="41" t="str">
        <x:v>Sensor and software faults</x:v>
      </x:c>
      <x:c r="O5" s="41" t="str">
        <x:v>mixed</x:v>
      </x:c>
      <x:c r="P5" s="41" t="str">
        <x:v>Numerical simulation and outdoor flight experiments</x:v>
      </x:c>
      <x:c r="Q5" s="41" t="str">
        <x:v>not_reported</x:v>
      </x:c>
      <x:c r="R5" s="41" t="str">
        <x:v>Individual estimates and dynamic model</x:v>
      </x:c>
      <x:c r="S5" s="41" t="str">
        <x:v>maybe</x:v>
      </x:c>
      <x:c r="T5" s="41" t="str"/>
      <x:c r="U5" s="41" t="str">
        <x:v>https://consensus.app/papers/data-fusion-fault-tolerant-strategy-for-a-quadrotor-uav-hamadi-lussier/3f73be923abd5b01819f52436bbb9851/?utm_source=chatgpt</x:v>
      </x:c>
      <x:c r="V5" s="41" t="str">
        <x:v>Codex</x:v>
      </x:c>
      <x:c r="W5" s="43" t="str">
        <x:v>2026-07-28</x:v>
      </x:c>
      <x:c r="X5" s="41" t="str">
        <x:v>Publisher metadata screening; full text pending</x:v>
      </x:c>
    </x:row>
    <x:row r="6">
      <x:c r="A6" s="44" t="str">
        <x:v>STUDY-0005</x:v>
      </x:c>
      <x:c r="B6" s="44" t="str"/>
      <x:c r="C6" s="44" t="str">
        <x:v>10.1016/j.neucom.2018.08.046</x:v>
      </x:c>
      <x:c r="D6" s="41" t="str">
        <x:v>A hybrid feature model and deep learning based fault diagnosis for unmanned aerial vehicle sensors</x:v>
      </x:c>
      <x:c r="E6" s="42" t="n">
        <x:v>2018</x:v>
      </x:c>
      <x:c r="F6" s="41" t="str">
        <x:v>Guo</x:v>
      </x:c>
      <x:c r="G6" s="41" t="str">
        <x:v>Neurocomputing</x:v>
      </x:c>
      <x:c r="H6" s="41" t="str">
        <x:v>Journal Article</x:v>
      </x:c>
      <x:c r="I6" s="41" t="str">
        <x:v>Hybrid residual-based sensor diagnosis</x:v>
      </x:c>
      <x:c r="J6" s="41" t="str">
        <x:v>UAV</x:v>
      </x:c>
      <x:c r="K6" s="41" t="str">
        <x:v>Aerodynamic-model/EKF residual generation</x:v>
      </x:c>
      <x:c r="L6" s="41" t="str">
        <x:v>STFT plus CNN</x:v>
      </x:c>
      <x:c r="M6" s="41" t="str">
        <x:v>not_reported</x:v>
      </x:c>
      <x:c r="N6" s="41" t="str">
        <x:v>GPS; IMU; air-data sensor faults</x:v>
      </x:c>
      <x:c r="O6" s="41" t="str">
        <x:v>flight test</x:v>
      </x:c>
      <x:c r="P6" s="41" t="str">
        <x:v>UAV flight experiments</x:v>
      </x:c>
      <x:c r="Q6" s="41" t="str">
        <x:v>not_reported</x:v>
      </x:c>
      <x:c r="R6" s="41" t="str">
        <x:v>not_reported</x:v>
      </x:c>
      <x:c r="S6" s="41" t="str">
        <x:v>maybe</x:v>
      </x:c>
      <x:c r="T6" s="41" t="str"/>
      <x:c r="U6" s="41" t="str">
        <x:v>https://consensus.app/papers/a-hybrid-feature-model-and-deep-learning-based-fault-guo-zhong/4a47290975fe54bea87442be7faa4bd7/?utm_source=chatgpt</x:v>
      </x:c>
      <x:c r="V6" s="41" t="str">
        <x:v>Codex</x:v>
      </x:c>
      <x:c r="W6" s="43" t="str">
        <x:v>2026-07-28</x:v>
      </x:c>
      <x:c r="X6" s="41" t="str">
        <x:v>Publisher abstract screening; full text pending</x:v>
      </x:c>
    </x:row>
    <x:row r="7">
      <x:c r="A7" s="44" t="str">
        <x:v>STUDY-0006</x:v>
      </x:c>
      <x:c r="B7" s="44" t="str"/>
      <x:c r="C7" s="44" t="str">
        <x:v>10.1109/TIM.2025.3561438</x:v>
      </x:c>
      <x:c r="D7" s="41" t="str">
        <x:v>Application of a Multimodal Deep Learning Model Based on Recursive Fusion Feature Map With Transformer–TCN for Complex Fault Diagnosis of Flying Wing UAV Actuators</x:v>
      </x:c>
      <x:c r="E7" s="42" t="n">
        <x:v>2025</x:v>
      </x:c>
      <x:c r="F7" s="41" t="str">
        <x:v>Zhang</x:v>
      </x:c>
      <x:c r="G7" s="41" t="str">
        <x:v>IEEE Transactions on Instrumentation and Measurement</x:v>
      </x:c>
      <x:c r="H7" s="41" t="str">
        <x:v>Journal Article</x:v>
      </x:c>
      <x:c r="I7" s="41" t="str">
        <x:v>Temporal multimodal actuator diagnosis</x:v>
      </x:c>
      <x:c r="J7" s="41" t="str">
        <x:v>flying-wing UAV</x:v>
      </x:c>
      <x:c r="K7" s="41" t="str">
        <x:v>not_reported</x:v>
      </x:c>
      <x:c r="L7" s="41" t="str">
        <x:v>Recursive feature fusion; Transformer; TCN</x:v>
      </x:c>
      <x:c r="M7" s="41" t="str">
        <x:v>not_reported</x:v>
      </x:c>
      <x:c r="N7" s="41" t="str">
        <x:v>Actuator single and compound faults</x:v>
      </x:c>
      <x:c r="O7" s="41" t="str">
        <x:v>simulation</x:v>
      </x:c>
      <x:c r="P7" s="41" t="str">
        <x:v>Balanced and unbalanced simulated datasets</x:v>
      </x:c>
      <x:c r="Q7" s="41" t="str">
        <x:v>not_reported</x:v>
      </x:c>
      <x:c r="R7" s="41" t="str">
        <x:v>SVM; random forest; LSTM</x:v>
      </x:c>
      <x:c r="S7" s="41" t="str">
        <x:v>maybe</x:v>
      </x:c>
      <x:c r="T7" s="41" t="str"/>
      <x:c r="U7" s="41" t="str">
        <x:v>https://consensus.app/papers/application-of-a-multimodal-deep-learning-model-based-on-zhang-liu/8b55ddca0ab453899a49b98864623d3f/?utm_source=chatgpt</x:v>
      </x:c>
      <x:c r="V7" s="41" t="str">
        <x:v>Codex</x:v>
      </x:c>
      <x:c r="W7" s="43" t="str">
        <x:v>2026-07-28</x:v>
      </x:c>
      <x:c r="X7" s="41" t="str">
        <x:v>Abstract screening only; full text pending</x:v>
      </x:c>
    </x:row>
    <x:row r="8">
      <x:c r="A8" s="44" t="str">
        <x:v>STUDY-0007</x:v>
      </x:c>
      <x:c r="B8" s="44" t="str"/>
      <x:c r="C8" s="44" t="str">
        <x:v>10.1109/JSEN.2021.3124731</x:v>
      </x:c>
      <x:c r="D8" s="41" t="str">
        <x:v>An Informational Approach for Fault Tolerant Data Fusion Applied to a UAV's Attitude, Altitude, and Position Estimation</x:v>
      </x:c>
      <x:c r="E8" s="42" t="n">
        <x:v>2021</x:v>
      </x:c>
      <x:c r="F8" s="41" t="str">
        <x:v>Saied</x:v>
      </x:c>
      <x:c r="G8" s="41" t="str">
        <x:v>IEEE Sensors Journal</x:v>
      </x:c>
      <x:c r="H8" s="41" t="str">
        <x:v>Journal Article</x:v>
      </x:c>
      <x:c r="I8" s="41" t="str">
        <x:v>Fault-tolerant sensor fusion</x:v>
      </x:c>
      <x:c r="J8" s="41" t="str">
        <x:v>multirotor UAV</x:v>
      </x:c>
      <x:c r="K8" s="41" t="str">
        <x:v>Informational Kalman filters</x:v>
      </x:c>
      <x:c r="L8" s="41" t="str">
        <x:v>Bhattacharyya-distance residual comparison</x:v>
      </x:c>
      <x:c r="M8" s="41" t="str">
        <x:v>Erroneous-state substitution</x:v>
      </x:c>
      <x:c r="N8" s="41" t="str">
        <x:v>Navigation sensor faults</x:v>
      </x:c>
      <x:c r="O8" s="41" t="str">
        <x:v>flight test</x:v>
      </x:c>
      <x:c r="P8" s="41" t="str">
        <x:v>Offline real UAV measurements with fault injection</x:v>
      </x:c>
      <x:c r="Q8" s="41" t="str">
        <x:v>not_reported</x:v>
      </x:c>
      <x:c r="R8" s="41" t="str">
        <x:v>Duplication/comparison architecture</x:v>
      </x:c>
      <x:c r="S8" s="41" t="str">
        <x:v>maybe</x:v>
      </x:c>
      <x:c r="T8" s="41" t="str"/>
      <x:c r="U8" s="41" t="str">
        <x:v>https://consensus.app/papers/an-informational-approach-for-fault-tolerant-data-fusion-saied-tabikh/5b7be7bfd06e54109fc38581e3648640/?utm_source=chatgpt</x:v>
      </x:c>
      <x:c r="V8" s="41" t="str">
        <x:v>Codex</x:v>
      </x:c>
      <x:c r="W8" s="43" t="str">
        <x:v>2026-07-28</x:v>
      </x:c>
      <x:c r="X8" s="41" t="str">
        <x:v>Abstract screening only; offline validation; full text pending</x:v>
      </x:c>
    </x:row>
    <x:row r="9">
      <x:c r="A9" s="44" t="str">
        <x:v>STUDY-0008</x:v>
      </x:c>
      <x:c r="B9" s="44" t="str"/>
      <x:c r="C9" s="44" t="str">
        <x:v>10.3390/drones7080503</x:v>
      </x:c>
      <x:c r="D9" s="41" t="str">
        <x:v>Fault Detection and Fault-Tolerant Cooperative Control of Multi-UAVs under Actuator Faults, Sensor Faults, and Wind Disturbances</x:v>
      </x:c>
      <x:c r="E9" s="42" t="n">
        <x:v>2023</x:v>
      </x:c>
      <x:c r="F9" s="41" t="str">
        <x:v>Yang</x:v>
      </x:c>
      <x:c r="G9" s="41" t="str">
        <x:v>Drones</x:v>
      </x:c>
      <x:c r="H9" s="41" t="str">
        <x:v>Journal Article</x:v>
      </x:c>
      <x:c r="I9" s="41" t="str">
        <x:v>Integrated FD and fault-tolerant control</x:v>
      </x:c>
      <x:c r="J9" s="41" t="str">
        <x:v>fixed-wing multi-UAV</x:v>
      </x:c>
      <x:c r="K9" s="41" t="str">
        <x:v>Cooperative unknown-input observers</x:v>
      </x:c>
      <x:c r="L9" s="41" t="str">
        <x:v>Adaptive thresholds</x:v>
      </x:c>
      <x:c r="M9" s="41" t="str">
        <x:v>Backstepping fault-tolerant cooperative control</x:v>
      </x:c>
      <x:c r="N9" s="41" t="str">
        <x:v>Actuator faults; pitot sensor faults; wind</x:v>
      </x:c>
      <x:c r="O9" s="41" t="str">
        <x:v>simulation</x:v>
      </x:c>
      <x:c r="P9" s="41" t="str">
        <x:v>Numerical cooperative-flight simulation</x:v>
      </x:c>
      <x:c r="Q9" s="41" t="str">
        <x:v>not_reported</x:v>
      </x:c>
      <x:c r="R9" s="41" t="str">
        <x:v>not_reported</x:v>
      </x:c>
      <x:c r="S9" s="41" t="str">
        <x:v>maybe</x:v>
      </x:c>
      <x:c r="T9" s="41" t="str"/>
      <x:c r="U9" s="41" t="str">
        <x:v>https://consensus.app/papers/fault-detection-and-faulttolerant-cooperative-control-of-yang-li/6216d87a35715dbfa14ab1cc44e045b4/?utm_source=chatgpt</x:v>
      </x:c>
      <x:c r="V9" s="41" t="str">
        <x:v>Codex</x:v>
      </x:c>
      <x:c r="W9" s="43" t="str">
        <x:v>2026-07-28</x:v>
      </x:c>
      <x:c r="X9" s="41" t="str">
        <x:v>Abstract screening only; full text pending</x:v>
      </x:c>
    </x:row>
    <x:row r="10">
      <x:c r="A10" s="44" t="str">
        <x:v>STUDY-0009</x:v>
      </x:c>
      <x:c r="B10" s="44" t="str"/>
      <x:c r="C10" s="44" t="str">
        <x:v>10.3390/machines9090197</x:v>
      </x:c>
      <x:c r="D10" s="41" t="str">
        <x:v>A Survey on Fault Diagnosis and Fault-Tolerant Control Methods for Unmanned Aerial Vehicles</x:v>
      </x:c>
      <x:c r="E10" s="42" t="n">
        <x:v>2021</x:v>
      </x:c>
      <x:c r="F10" s="41" t="str">
        <x:v>Fourlas</x:v>
      </x:c>
      <x:c r="G10" s="41" t="str">
        <x:v>Machines</x:v>
      </x:c>
      <x:c r="H10" s="41" t="str">
        <x:v>Review</x:v>
      </x:c>
      <x:c r="I10" s="41" t="str">
        <x:v>UAV fault diagnosis and fault-tolerant control taxonomy</x:v>
      </x:c>
      <x:c r="J10" s="41" t="str">
        <x:v>UAV</x:v>
      </x:c>
      <x:c r="K10" s="41" t="str">
        <x:v>Multiple reviewed</x:v>
      </x:c>
      <x:c r="L10" s="41" t="str">
        <x:v>Model-, signal-, and knowledge-based methods</x:v>
      </x:c>
      <x:c r="M10" s="41" t="str">
        <x:v>Passive and active FTC</x:v>
      </x:c>
      <x:c r="N10" s="41" t="str">
        <x:v>Sensor; actuator; structural and other faults</x:v>
      </x:c>
      <x:c r="O10" s="41" t="str">
        <x:v>theoretical</x:v>
      </x:c>
      <x:c r="P10" s="41" t="str">
        <x:v>Literature survey</x:v>
      </x:c>
      <x:c r="Q10" s="41" t="str">
        <x:v>not_reported</x:v>
      </x:c>
      <x:c r="R10" s="41" t="str">
        <x:v>Prior surveys and method classes</x:v>
      </x:c>
      <x:c r="S10" s="41" t="str">
        <x:v>maybe</x:v>
      </x:c>
      <x:c r="T10" s="41" t="str"/>
      <x:c r="U10" s="41" t="str">
        <x:v>https://consensus.app/papers/a-survey-on-fault-diagnosis-and-faulttolerant-control-fourlas-karras/a47250a2772b52329a27cd4b94389ab4/?utm_source=chatgpt</x:v>
      </x:c>
      <x:c r="V10" s="41" t="str">
        <x:v>Codex</x:v>
      </x:c>
      <x:c r="W10" s="43" t="str">
        <x:v>2026-07-28</x:v>
      </x:c>
      <x:c r="X10" s="41" t="str">
        <x:v>Open-access full text located; formal extraction pending</x:v>
      </x:c>
    </x:row>
    <x:row r="11">
      <x:c r="A11" s="44" t="str">
        <x:v>STUDY-0010</x:v>
      </x:c>
      <x:c r="B11" s="44" t="str"/>
      <x:c r="C11" s="44" t="str">
        <x:v>10.1177/0278364920966642</x:v>
      </x:c>
      <x:c r="D11" s="41" t="str">
        <x:v>ALFA: A dataset for UAV fault and anomaly detection</x:v>
      </x:c>
      <x:c r="E11" s="42" t="n">
        <x:v>2021</x:v>
      </x:c>
      <x:c r="F11" s="41" t="str">
        <x:v>Keipour</x:v>
      </x:c>
      <x:c r="G11" s="41" t="str">
        <x:v>The International Journal of Robotics Research</x:v>
      </x:c>
      <x:c r="H11" s="41" t="str">
        <x:v>Dataset Article</x:v>
      </x:c>
      <x:c r="I11" s="41" t="str">
        <x:v>Open UAV fault/anomaly benchmark</x:v>
      </x:c>
      <x:c r="J11" s="41" t="str">
        <x:v>fixed-wing UAV</x:v>
      </x:c>
      <x:c r="K11" s="41" t="str">
        <x:v>not_reported</x:v>
      </x:c>
      <x:c r="L11" s="41" t="str">
        <x:v>Benchmark target</x:v>
      </x:c>
      <x:c r="M11" s="41" t="str">
        <x:v>not_reported</x:v>
      </x:c>
      <x:c r="N11" s="41" t="str">
        <x:v>Engine and control-surface actuator faults</x:v>
      </x:c>
      <x:c r="O11" s="41" t="str">
        <x:v>flight test</x:v>
      </x:c>
      <x:c r="P11" s="41" t="str">
        <x:v>47 autonomous flights with ground-truth fault labels</x:v>
      </x:c>
      <x:c r="Q11" s="41" t="str">
        <x:v>47 flights</x:v>
      </x:c>
      <x:c r="R11" s="41" t="str">
        <x:v>Dataset metrics and helper tools</x:v>
      </x:c>
      <x:c r="S11" s="41" t="str">
        <x:v>maybe</x:v>
      </x:c>
      <x:c r="T11" s="41" t="str"/>
      <x:c r="U11" s="41" t="str">
        <x:v>https://consensus.app/papers/alfa-a-dataset-for-uav-fault-and-anomaly-detection-keipour-mousaei/21ed0da43da356eab7bc714e3631da16/?utm_source=chatgpt</x:v>
      </x:c>
      <x:c r="V11" s="41" t="str">
        <x:v>Codex</x:v>
      </x:c>
      <x:c r="W11" s="43" t="str">
        <x:v>2026-07-28</x:v>
      </x:c>
      <x:c r="X11" s="41" t="str">
        <x:v>Issue year used; dataset DOI 10.1184/R1/12707963; full-text extraction pending</x:v>
      </x:c>
    </x:row>
    <x:row r="12">
      <x:c r="A12" s="44" t="str">
        <x:v>STUDY-0011</x:v>
      </x:c>
      <x:c r="B12" s="44" t="str"/>
      <x:c r="C12" s="44" t="str">
        <x:v>10.1177/02783649241305153</x:v>
      </x:c>
      <x:c r="D12" s="41" t="str">
        <x:v>RflyMAD: A dataset for multicopter fault detection and health assessment</x:v>
      </x:c>
      <x:c r="E12" s="42" t="n">
        <x:v>2025</x:v>
      </x:c>
      <x:c r="F12" s="41" t="str">
        <x:v>Le</x:v>
      </x:c>
      <x:c r="G12" s="41" t="str">
        <x:v>The International Journal of Robotics Research</x:v>
      </x:c>
      <x:c r="H12" s="41" t="str">
        <x:v>Dataset Article</x:v>
      </x:c>
      <x:c r="I12" s="41" t="str">
        <x:v>Open multicopter fault/health benchmark</x:v>
      </x:c>
      <x:c r="J12" s="41" t="str">
        <x:v>multicopter</x:v>
      </x:c>
      <x:c r="K12" s="41" t="str">
        <x:v>not_reported</x:v>
      </x:c>
      <x:c r="L12" s="41" t="str">
        <x:v>Benchmark target</x:v>
      </x:c>
      <x:c r="M12" s="41" t="str">
        <x:v>not_reported</x:v>
      </x:c>
      <x:c r="N12" s="41" t="str">
        <x:v>11 fault types across 6 flight statuses</x:v>
      </x:c>
      <x:c r="O12" s="41" t="str">
        <x:v>mixed</x:v>
      </x:c>
      <x:c r="P12" s="41" t="str">
        <x:v>SIL, HIL, and real-flight cases</x:v>
      </x:c>
      <x:c r="Q12" s="41" t="str">
        <x:v>5629 cases</x:v>
      </x:c>
      <x:c r="R12" s="41" t="str">
        <x:v>Transfer-learning validation and future baselines</x:v>
      </x:c>
      <x:c r="S12" s="41" t="str">
        <x:v>maybe</x:v>
      </x:c>
      <x:c r="T12" s="41" t="str"/>
      <x:c r="U12" s="41" t="str">
        <x:v>https://consensus.app/papers/rflymad-a-dataset-for-multicopter-fault-detection-and-le-jin/1b15ad900f5a505f82cc948a0f45998a/?utm_source=chatgpt</x:v>
      </x:c>
      <x:c r="V12" s="41" t="str">
        <x:v>Codex</x:v>
      </x:c>
      <x:c r="W12" s="43" t="str">
        <x:v>2026-07-28</x:v>
      </x:c>
      <x:c r="X12" s="41" t="str">
        <x:v>Publisher issue year used; full-text extraction pending</x:v>
      </x:c>
    </x:row>
    <x:row r="13">
      <x:c r="A13" s="44" t="str">
        <x:v>STUDY-0012</x:v>
      </x:c>
      <x:c r="B13" s="44" t="str"/>
      <x:c r="C13" s="44" t="str">
        <x:v>10.1016/j.inffus.2023.01.025</x:v>
      </x:c>
      <x:c r="D13" s="41" t="str">
        <x:v>Multi-sensor integrated navigation/positioning systems using data fusion: From analytics-based to learning-based approaches</x:v>
      </x:c>
      <x:c r="E13" s="42" t="n">
        <x:v>2023</x:v>
      </x:c>
      <x:c r="F13" s="41" t="str">
        <x:v>Zhuang</x:v>
      </x:c>
      <x:c r="G13" s="41" t="str">
        <x:v>Information Fusion</x:v>
      </x:c>
      <x:c r="H13" s="41" t="str">
        <x:v>Review</x:v>
      </x:c>
      <x:c r="I13" s="41" t="str">
        <x:v>Analytic and learning-based multisensor navigation fusion</x:v>
      </x:c>
      <x:c r="J13" s="41" t="str">
        <x:v>multiple platforms including UAV</x:v>
      </x:c>
      <x:c r="K13" s="41" t="str">
        <x:v>Kalman variants; graph optimization; learning-based fusion</x:v>
      </x:c>
      <x:c r="L13" s="41" t="str">
        <x:v>Outlier robustness discussed</x:v>
      </x:c>
      <x:c r="M13" s="41" t="str">
        <x:v>not_reported</x:v>
      </x:c>
      <x:c r="N13" s="41" t="str">
        <x:v>Navigation source degradation and uncertainty</x:v>
      </x:c>
      <x:c r="O13" s="41" t="str">
        <x:v>theoretical</x:v>
      </x:c>
      <x:c r="P13" s="41" t="str">
        <x:v>Literature survey across navigation applications</x:v>
      </x:c>
      <x:c r="Q13" s="41" t="str">
        <x:v>not_reported</x:v>
      </x:c>
      <x:c r="R13" s="41" t="str">
        <x:v>Prior surveys and fusion families</x:v>
      </x:c>
      <x:c r="S13" s="41" t="str">
        <x:v>maybe</x:v>
      </x:c>
      <x:c r="T13" s="41" t="str"/>
      <x:c r="U13" s="41" t="str">
        <x:v>https://consensus.app/papers/multisensor-integrated-navigationpositioning-systems-zhuang-sun/47c4a17f3609570e806e9d1279a385e0/?utm_source=chatgpt</x:v>
      </x:c>
      <x:c r="V13" s="41" t="str">
        <x:v>Codex</x:v>
      </x:c>
      <x:c r="W13" s="43" t="str">
        <x:v>2026-07-28</x:v>
      </x:c>
      <x:c r="X13" s="41" t="str">
        <x:v>UAV is one application class; publisher full text located; extraction pending</x:v>
      </x:c>
    </x:row>
    <x:row r="14">
      <x:c r="A14" s="44"/>
      <x:c r="B14" s="44"/>
      <x:c r="C14" s="44"/>
      <x:c r="D14" s="41"/>
      <x:c r="E14" s="42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3"/>
      <x:c r="X14" s="41"/>
    </x:row>
    <x:row r="15">
      <x:c r="A15" s="44"/>
      <x:c r="B15" s="44"/>
      <x:c r="C15" s="44"/>
      <x:c r="D15" s="41"/>
      <x:c r="E15" s="42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3"/>
      <x:c r="X15" s="41"/>
    </x:row>
    <x:row r="16">
      <x:c r="A16" s="44"/>
      <x:c r="B16" s="44"/>
      <x:c r="C16" s="44"/>
      <x:c r="D16" s="41"/>
      <x:c r="E16" s="42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3"/>
      <x:c r="X16" s="41"/>
    </x:row>
    <x:row r="17">
      <x:c r="A17" s="44"/>
      <x:c r="B17" s="44"/>
      <x:c r="C17" s="44"/>
      <x:c r="D17" s="41"/>
      <x:c r="E17" s="42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3"/>
      <x:c r="X17" s="41"/>
    </x:row>
    <x:row r="18">
      <x:c r="A18" s="44"/>
      <x:c r="B18" s="44"/>
      <x:c r="C18" s="44"/>
      <x:c r="D18" s="41"/>
      <x:c r="E18" s="42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3"/>
      <x:c r="X18" s="41"/>
    </x:row>
    <x:row r="19">
      <x:c r="A19" s="44"/>
      <x:c r="B19" s="44"/>
      <x:c r="C19" s="44"/>
      <x:c r="D19" s="41"/>
      <x:c r="E19" s="42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3"/>
      <x:c r="X19" s="41"/>
    </x:row>
    <x:row r="20">
      <x:c r="A20" s="44"/>
      <x:c r="B20" s="44"/>
      <x:c r="C20" s="44"/>
      <x:c r="D20" s="41"/>
      <x:c r="E20" s="42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3"/>
      <x:c r="X20" s="41"/>
    </x:row>
    <x:row r="21">
      <x:c r="A21" s="44"/>
      <x:c r="B21" s="44"/>
      <x:c r="C21" s="44"/>
      <x:c r="D21" s="41"/>
      <x:c r="E21" s="42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3"/>
      <x:c r="X21" s="41"/>
    </x:row>
    <x:row r="22">
      <x:c r="A22" s="44"/>
      <x:c r="B22" s="44"/>
      <x:c r="C22" s="44"/>
      <x:c r="D22" s="41"/>
      <x:c r="E22" s="42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3"/>
      <x:c r="X22" s="41"/>
    </x:row>
    <x:row r="23">
      <x:c r="A23" s="44"/>
      <x:c r="B23" s="44"/>
      <x:c r="C23" s="44"/>
      <x:c r="D23" s="41"/>
      <x:c r="E23" s="42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3"/>
      <x:c r="X23" s="41"/>
    </x:row>
    <x:row r="24">
      <x:c r="A24" s="44"/>
      <x:c r="B24" s="44"/>
      <x:c r="C24" s="44"/>
      <x:c r="D24" s="41"/>
      <x:c r="E24" s="42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3"/>
      <x:c r="X24" s="41"/>
    </x:row>
    <x:row r="25">
      <x:c r="A25" s="44"/>
      <x:c r="B25" s="44"/>
      <x:c r="C25" s="44"/>
      <x:c r="D25" s="41"/>
      <x:c r="E25" s="42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3"/>
      <x:c r="X25" s="41"/>
    </x:row>
    <x:row r="26">
      <x:c r="A26" s="44"/>
      <x:c r="B26" s="44"/>
      <x:c r="C26" s="44"/>
      <x:c r="D26" s="41"/>
      <x:c r="E26" s="42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3"/>
      <x:c r="X26" s="41"/>
    </x:row>
    <x:row r="27">
      <x:c r="A27" s="44"/>
      <x:c r="B27" s="44"/>
      <x:c r="C27" s="44"/>
      <x:c r="D27" s="41"/>
      <x:c r="E27" s="42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3"/>
      <x:c r="X27" s="41"/>
    </x:row>
    <x:row r="28">
      <x:c r="A28" s="44"/>
      <x:c r="B28" s="44"/>
      <x:c r="C28" s="44"/>
      <x:c r="D28" s="41"/>
      <x:c r="E28" s="42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3"/>
      <x:c r="X28" s="41"/>
    </x:row>
    <x:row r="29">
      <x:c r="A29" s="44"/>
      <x:c r="B29" s="44"/>
      <x:c r="C29" s="44"/>
      <x:c r="D29" s="41"/>
      <x:c r="E29" s="42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3"/>
      <x:c r="X29" s="41"/>
    </x:row>
    <x:row r="30">
      <x:c r="A30" s="44"/>
      <x:c r="B30" s="44"/>
      <x:c r="C30" s="44"/>
      <x:c r="D30" s="41"/>
      <x:c r="E30" s="42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3"/>
      <x:c r="X30" s="41"/>
    </x:row>
    <x:row r="31">
      <x:c r="A31" s="44"/>
      <x:c r="B31" s="44"/>
      <x:c r="C31" s="44"/>
      <x:c r="D31" s="41"/>
      <x:c r="E31" s="42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3"/>
      <x:c r="X31" s="41"/>
    </x:row>
    <x:row r="32">
      <x:c r="A32" s="44"/>
      <x:c r="B32" s="44"/>
      <x:c r="C32" s="44"/>
      <x:c r="D32" s="41"/>
      <x:c r="E32" s="42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3"/>
      <x:c r="X32" s="41"/>
    </x:row>
    <x:row r="33">
      <x:c r="A33" s="44"/>
      <x:c r="B33" s="44"/>
      <x:c r="C33" s="44"/>
      <x:c r="D33" s="41"/>
      <x:c r="E33" s="42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3"/>
      <x:c r="X33" s="41"/>
    </x:row>
    <x:row r="34">
      <x:c r="A34" s="44"/>
      <x:c r="B34" s="44"/>
      <x:c r="C34" s="44"/>
      <x:c r="D34" s="41"/>
      <x:c r="E34" s="42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3"/>
      <x:c r="X34" s="41"/>
    </x:row>
    <x:row r="35">
      <x:c r="A35" s="44"/>
      <x:c r="B35" s="44"/>
      <x:c r="C35" s="44"/>
      <x:c r="D35" s="41"/>
      <x:c r="E35" s="42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3"/>
      <x:c r="X35" s="41"/>
    </x:row>
    <x:row r="36">
      <x:c r="A36" s="44"/>
      <x:c r="B36" s="44"/>
      <x:c r="C36" s="44"/>
      <x:c r="D36" s="41"/>
      <x:c r="E36" s="42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3"/>
      <x:c r="X36" s="41"/>
    </x:row>
    <x:row r="37">
      <x:c r="A37" s="44"/>
      <x:c r="B37" s="44"/>
      <x:c r="C37" s="44"/>
      <x:c r="D37" s="41"/>
      <x:c r="E37" s="42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3"/>
      <x:c r="X37" s="41"/>
    </x:row>
    <x:row r="38">
      <x:c r="A38" s="44"/>
      <x:c r="B38" s="44"/>
      <x:c r="C38" s="44"/>
      <x:c r="D38" s="41"/>
      <x:c r="E38" s="42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3"/>
      <x:c r="X38" s="41"/>
    </x:row>
    <x:row r="39">
      <x:c r="A39" s="44"/>
      <x:c r="B39" s="44"/>
      <x:c r="C39" s="44"/>
      <x:c r="D39" s="41"/>
      <x:c r="E39" s="42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3"/>
      <x:c r="X39" s="41"/>
    </x:row>
    <x:row r="40">
      <x:c r="A40" s="44"/>
      <x:c r="B40" s="44"/>
      <x:c r="C40" s="44"/>
      <x:c r="D40" s="41"/>
      <x:c r="E40" s="42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3"/>
      <x:c r="X40" s="41"/>
    </x:row>
    <x:row r="41">
      <x:c r="A41" s="44"/>
      <x:c r="B41" s="44"/>
      <x:c r="C41" s="44"/>
      <x:c r="D41" s="41"/>
      <x:c r="E41" s="42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3"/>
      <x:c r="X41" s="41"/>
    </x:row>
    <x:row r="42">
      <x:c r="A42" s="44"/>
      <x:c r="B42" s="44"/>
      <x:c r="C42" s="44"/>
      <x:c r="D42" s="41"/>
      <x:c r="E42" s="42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3"/>
      <x:c r="X42" s="41"/>
    </x:row>
    <x:row r="43">
      <x:c r="A43" s="44"/>
      <x:c r="B43" s="44"/>
      <x:c r="C43" s="44"/>
      <x:c r="D43" s="41"/>
      <x:c r="E43" s="42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3"/>
      <x:c r="X43" s="41"/>
    </x:row>
    <x:row r="44">
      <x:c r="A44" s="44"/>
      <x:c r="B44" s="44"/>
      <x:c r="C44" s="44"/>
      <x:c r="D44" s="41"/>
      <x:c r="E44" s="42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3"/>
      <x:c r="X44" s="41"/>
    </x:row>
    <x:row r="45">
      <x:c r="A45" s="44"/>
      <x:c r="B45" s="44"/>
      <x:c r="C45" s="44"/>
      <x:c r="D45" s="41"/>
      <x:c r="E45" s="42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3"/>
      <x:c r="X45" s="41"/>
    </x:row>
    <x:row r="46">
      <x:c r="A46" s="44"/>
      <x:c r="B46" s="44"/>
      <x:c r="C46" s="44"/>
      <x:c r="D46" s="41"/>
      <x:c r="E46" s="42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3"/>
      <x:c r="X46" s="41"/>
    </x:row>
    <x:row r="47">
      <x:c r="A47" s="44"/>
      <x:c r="B47" s="44"/>
      <x:c r="C47" s="44"/>
      <x:c r="D47" s="41"/>
      <x:c r="E47" s="42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3"/>
      <x:c r="X47" s="41"/>
    </x:row>
    <x:row r="48">
      <x:c r="A48" s="44"/>
      <x:c r="B48" s="44"/>
      <x:c r="C48" s="44"/>
      <x:c r="D48" s="41"/>
      <x:c r="E48" s="42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3"/>
      <x:c r="X48" s="41"/>
    </x:row>
    <x:row r="49">
      <x:c r="A49" s="44"/>
      <x:c r="B49" s="44"/>
      <x:c r="C49" s="44"/>
      <x:c r="D49" s="41"/>
      <x:c r="E49" s="42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3"/>
      <x:c r="X49" s="41"/>
    </x:row>
    <x:row r="50">
      <x:c r="A50" s="44"/>
      <x:c r="B50" s="44"/>
      <x:c r="C50" s="44"/>
      <x:c r="D50" s="41"/>
      <x:c r="E50" s="42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3"/>
      <x:c r="X50" s="41"/>
    </x:row>
    <x:row r="51">
      <x:c r="A51" s="44"/>
      <x:c r="B51" s="44"/>
      <x:c r="C51" s="44"/>
      <x:c r="D51" s="41"/>
      <x:c r="E51" s="42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3"/>
      <x:c r="X51" s="41"/>
    </x:row>
    <x:row r="52">
      <x:c r="A52" s="44"/>
      <x:c r="B52" s="44"/>
      <x:c r="C52" s="44"/>
      <x:c r="D52" s="41"/>
      <x:c r="E52" s="42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3"/>
      <x:c r="X52" s="41"/>
    </x:row>
    <x:row r="53">
      <x:c r="A53" s="44"/>
      <x:c r="B53" s="44"/>
      <x:c r="C53" s="44"/>
      <x:c r="D53" s="41"/>
      <x:c r="E53" s="42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3"/>
      <x:c r="X53" s="41"/>
    </x:row>
    <x:row r="54">
      <x:c r="A54" s="44"/>
      <x:c r="B54" s="44"/>
      <x:c r="C54" s="44"/>
      <x:c r="D54" s="41"/>
      <x:c r="E54" s="42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3"/>
      <x:c r="X54" s="41"/>
    </x:row>
    <x:row r="55">
      <x:c r="A55" s="44"/>
      <x:c r="B55" s="44"/>
      <x:c r="C55" s="44"/>
      <x:c r="D55" s="41"/>
      <x:c r="E55" s="42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3"/>
      <x:c r="X55" s="41"/>
    </x:row>
    <x:row r="56">
      <x:c r="A56" s="44"/>
      <x:c r="B56" s="44"/>
      <x:c r="C56" s="44"/>
      <x:c r="D56" s="41"/>
      <x:c r="E56" s="42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3"/>
      <x:c r="X56" s="41"/>
    </x:row>
    <x:row r="57">
      <x:c r="A57" s="44"/>
      <x:c r="B57" s="44"/>
      <x:c r="C57" s="44"/>
      <x:c r="D57" s="41"/>
      <x:c r="E57" s="42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3"/>
      <x:c r="X57" s="41"/>
    </x:row>
    <x:row r="58">
      <x:c r="A58" s="44"/>
      <x:c r="B58" s="44"/>
      <x:c r="C58" s="44"/>
      <x:c r="D58" s="41"/>
      <x:c r="E58" s="42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3"/>
      <x:c r="X58" s="41"/>
    </x:row>
    <x:row r="59">
      <x:c r="A59" s="44"/>
      <x:c r="B59" s="44"/>
      <x:c r="C59" s="44"/>
      <x:c r="D59" s="41"/>
      <x:c r="E59" s="42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3"/>
      <x:c r="X59" s="41"/>
    </x:row>
    <x:row r="60">
      <x:c r="A60" s="44"/>
      <x:c r="B60" s="44"/>
      <x:c r="C60" s="44"/>
      <x:c r="D60" s="41"/>
      <x:c r="E60" s="42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3"/>
      <x:c r="X60" s="41"/>
    </x:row>
    <x:row r="61">
      <x:c r="A61" s="44"/>
      <x:c r="B61" s="44"/>
      <x:c r="C61" s="44"/>
      <x:c r="D61" s="41"/>
      <x:c r="E61" s="42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3"/>
      <x:c r="X61" s="41"/>
    </x:row>
    <x:row r="62">
      <x:c r="A62" s="44"/>
      <x:c r="B62" s="44"/>
      <x:c r="C62" s="44"/>
      <x:c r="D62" s="41"/>
      <x:c r="E62" s="42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3"/>
      <x:c r="X62" s="41"/>
    </x:row>
    <x:row r="63">
      <x:c r="A63" s="44"/>
      <x:c r="B63" s="44"/>
      <x:c r="C63" s="44"/>
      <x:c r="D63" s="41"/>
      <x:c r="E63" s="42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3"/>
      <x:c r="X63" s="41"/>
    </x:row>
    <x:row r="64">
      <x:c r="A64" s="44"/>
      <x:c r="B64" s="44"/>
      <x:c r="C64" s="44"/>
      <x:c r="D64" s="41"/>
      <x:c r="E64" s="42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3"/>
      <x:c r="X64" s="41"/>
    </x:row>
    <x:row r="65">
      <x:c r="A65" s="44"/>
      <x:c r="B65" s="44"/>
      <x:c r="C65" s="44"/>
      <x:c r="D65" s="41"/>
      <x:c r="E65" s="42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3"/>
      <x:c r="X65" s="41"/>
    </x:row>
    <x:row r="66">
      <x:c r="A66" s="44"/>
      <x:c r="B66" s="44"/>
      <x:c r="C66" s="44"/>
      <x:c r="D66" s="41"/>
      <x:c r="E66" s="42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3"/>
      <x:c r="X66" s="41"/>
    </x:row>
    <x:row r="67">
      <x:c r="A67" s="44"/>
      <x:c r="B67" s="44"/>
      <x:c r="C67" s="44"/>
      <x:c r="D67" s="41"/>
      <x:c r="E67" s="42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3"/>
      <x:c r="X67" s="41"/>
    </x:row>
    <x:row r="68">
      <x:c r="A68" s="44"/>
      <x:c r="B68" s="44"/>
      <x:c r="C68" s="44"/>
      <x:c r="D68" s="41"/>
      <x:c r="E68" s="42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3"/>
      <x:c r="X68" s="41"/>
    </x:row>
    <x:row r="69">
      <x:c r="A69" s="44"/>
      <x:c r="B69" s="44"/>
      <x:c r="C69" s="44"/>
      <x:c r="D69" s="41"/>
      <x:c r="E69" s="42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3"/>
      <x:c r="X69" s="41"/>
    </x:row>
    <x:row r="70">
      <x:c r="A70" s="44"/>
      <x:c r="B70" s="44"/>
      <x:c r="C70" s="44"/>
      <x:c r="D70" s="41"/>
      <x:c r="E70" s="42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3"/>
      <x:c r="X70" s="41"/>
    </x:row>
    <x:row r="71">
      <x:c r="A71" s="44"/>
      <x:c r="B71" s="44"/>
      <x:c r="C71" s="44"/>
      <x:c r="D71" s="41"/>
      <x:c r="E71" s="42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3"/>
      <x:c r="X71" s="41"/>
    </x:row>
    <x:row r="72">
      <x:c r="A72" s="44"/>
      <x:c r="B72" s="44"/>
      <x:c r="C72" s="44"/>
      <x:c r="D72" s="41"/>
      <x:c r="E72" s="42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3"/>
      <x:c r="X72" s="41"/>
    </x:row>
    <x:row r="73">
      <x:c r="A73" s="44"/>
      <x:c r="B73" s="44"/>
      <x:c r="C73" s="44"/>
      <x:c r="D73" s="41"/>
      <x:c r="E73" s="42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3"/>
      <x:c r="X73" s="41"/>
    </x:row>
    <x:row r="74">
      <x:c r="A74" s="44"/>
      <x:c r="B74" s="44"/>
      <x:c r="C74" s="44"/>
      <x:c r="D74" s="41"/>
      <x:c r="E74" s="42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3"/>
      <x:c r="X74" s="41"/>
    </x:row>
    <x:row r="75">
      <x:c r="A75" s="44"/>
      <x:c r="B75" s="44"/>
      <x:c r="C75" s="44"/>
      <x:c r="D75" s="41"/>
      <x:c r="E75" s="42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3"/>
      <x:c r="X75" s="41"/>
    </x:row>
    <x:row r="76">
      <x:c r="A76" s="44"/>
      <x:c r="B76" s="44"/>
      <x:c r="C76" s="44"/>
      <x:c r="D76" s="41"/>
      <x:c r="E76" s="42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3"/>
      <x:c r="X76" s="41"/>
    </x:row>
    <x:row r="77">
      <x:c r="A77" s="44"/>
      <x:c r="B77" s="44"/>
      <x:c r="C77" s="44"/>
      <x:c r="D77" s="41"/>
      <x:c r="E77" s="42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3"/>
      <x:c r="X77" s="41"/>
    </x:row>
    <x:row r="78">
      <x:c r="A78" s="44"/>
      <x:c r="B78" s="44"/>
      <x:c r="C78" s="44"/>
      <x:c r="D78" s="41"/>
      <x:c r="E78" s="42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3"/>
      <x:c r="X78" s="41"/>
    </x:row>
    <x:row r="79">
      <x:c r="A79" s="44"/>
      <x:c r="B79" s="44"/>
      <x:c r="C79" s="44"/>
      <x:c r="D79" s="41"/>
      <x:c r="E79" s="42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3"/>
      <x:c r="X79" s="41"/>
    </x:row>
    <x:row r="80">
      <x:c r="A80" s="44"/>
      <x:c r="B80" s="44"/>
      <x:c r="C80" s="44"/>
      <x:c r="D80" s="41"/>
      <x:c r="E80" s="42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3"/>
      <x:c r="X80" s="41"/>
    </x:row>
    <x:row r="81">
      <x:c r="A81" s="44"/>
      <x:c r="B81" s="44"/>
      <x:c r="C81" s="44"/>
      <x:c r="D81" s="41"/>
      <x:c r="E81" s="42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3"/>
      <x:c r="X81" s="41"/>
    </x:row>
    <x:row r="82">
      <x:c r="A82" s="44"/>
      <x:c r="B82" s="44"/>
      <x:c r="C82" s="44"/>
      <x:c r="D82" s="41"/>
      <x:c r="E82" s="42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3"/>
      <x:c r="X82" s="41"/>
    </x:row>
    <x:row r="83">
      <x:c r="A83" s="44"/>
      <x:c r="B83" s="44"/>
      <x:c r="C83" s="44"/>
      <x:c r="D83" s="41"/>
      <x:c r="E83" s="42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3"/>
      <x:c r="X83" s="41"/>
    </x:row>
    <x:row r="84">
      <x:c r="A84" s="44"/>
      <x:c r="B84" s="44"/>
      <x:c r="C84" s="44"/>
      <x:c r="D84" s="41"/>
      <x:c r="E84" s="42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3"/>
      <x:c r="X84" s="41"/>
    </x:row>
    <x:row r="85">
      <x:c r="A85" s="44"/>
      <x:c r="B85" s="44"/>
      <x:c r="C85" s="44"/>
      <x:c r="D85" s="41"/>
      <x:c r="E85" s="42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3"/>
      <x:c r="X85" s="41"/>
    </x:row>
    <x:row r="86">
      <x:c r="A86" s="44"/>
      <x:c r="B86" s="44"/>
      <x:c r="C86" s="44"/>
      <x:c r="D86" s="41"/>
      <x:c r="E86" s="42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3"/>
      <x:c r="X86" s="41"/>
    </x:row>
    <x:row r="87">
      <x:c r="A87" s="44"/>
      <x:c r="B87" s="44"/>
      <x:c r="C87" s="44"/>
      <x:c r="D87" s="41"/>
      <x:c r="E87" s="42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3"/>
      <x:c r="X87" s="41"/>
    </x:row>
    <x:row r="88">
      <x:c r="A88" s="44"/>
      <x:c r="B88" s="44"/>
      <x:c r="C88" s="44"/>
      <x:c r="D88" s="41"/>
      <x:c r="E88" s="42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3"/>
      <x:c r="X88" s="41"/>
    </x:row>
    <x:row r="89">
      <x:c r="A89" s="44"/>
      <x:c r="B89" s="44"/>
      <x:c r="C89" s="44"/>
      <x:c r="D89" s="41"/>
      <x:c r="E89" s="42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3"/>
      <x:c r="X89" s="41"/>
    </x:row>
    <x:row r="90">
      <x:c r="A90" s="44"/>
      <x:c r="B90" s="44"/>
      <x:c r="C90" s="44"/>
      <x:c r="D90" s="41"/>
      <x:c r="E90" s="42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3"/>
      <x:c r="X90" s="41"/>
    </x:row>
    <x:row r="91">
      <x:c r="A91" s="44"/>
      <x:c r="B91" s="44"/>
      <x:c r="C91" s="44"/>
      <x:c r="D91" s="41"/>
      <x:c r="E91" s="42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3"/>
      <x:c r="X91" s="41"/>
    </x:row>
    <x:row r="92">
      <x:c r="A92" s="44"/>
      <x:c r="B92" s="44"/>
      <x:c r="C92" s="44"/>
      <x:c r="D92" s="41"/>
      <x:c r="E92" s="42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3"/>
      <x:c r="X92" s="41"/>
    </x:row>
    <x:row r="93">
      <x:c r="A93" s="44"/>
      <x:c r="B93" s="44"/>
      <x:c r="C93" s="44"/>
      <x:c r="D93" s="41"/>
      <x:c r="E93" s="42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3"/>
      <x:c r="X93" s="41"/>
    </x:row>
    <x:row r="94">
      <x:c r="A94" s="44"/>
      <x:c r="B94" s="44"/>
      <x:c r="C94" s="44"/>
      <x:c r="D94" s="41"/>
      <x:c r="E94" s="42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3"/>
      <x:c r="X94" s="41"/>
    </x:row>
    <x:row r="95">
      <x:c r="A95" s="44"/>
      <x:c r="B95" s="44"/>
      <x:c r="C95" s="44"/>
      <x:c r="D95" s="41"/>
      <x:c r="E95" s="42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3"/>
      <x:c r="X95" s="41"/>
    </x:row>
    <x:row r="96">
      <x:c r="A96" s="44"/>
      <x:c r="B96" s="44"/>
      <x:c r="C96" s="44"/>
      <x:c r="D96" s="41"/>
      <x:c r="E96" s="42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3"/>
      <x:c r="X96" s="41"/>
    </x:row>
    <x:row r="97">
      <x:c r="A97" s="44"/>
      <x:c r="B97" s="44"/>
      <x:c r="C97" s="44"/>
      <x:c r="D97" s="41"/>
      <x:c r="E97" s="42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3"/>
      <x:c r="X97" s="41"/>
    </x:row>
    <x:row r="98">
      <x:c r="A98" s="44"/>
      <x:c r="B98" s="44"/>
      <x:c r="C98" s="44"/>
      <x:c r="D98" s="41"/>
      <x:c r="E98" s="42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3"/>
      <x:c r="X98" s="41"/>
    </x:row>
    <x:row r="99">
      <x:c r="A99" s="44"/>
      <x:c r="B99" s="44"/>
      <x:c r="C99" s="44"/>
      <x:c r="D99" s="41"/>
      <x:c r="E99" s="42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3"/>
      <x:c r="X99" s="41"/>
    </x:row>
    <x:row r="100">
      <x:c r="A100" s="44"/>
      <x:c r="B100" s="44"/>
      <x:c r="C100" s="44"/>
      <x:c r="D100" s="41"/>
      <x:c r="E100" s="42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3"/>
      <x:c r="X100" s="41"/>
    </x:row>
    <x:row r="101">
      <x:c r="A101" s="44"/>
      <x:c r="B101" s="44"/>
      <x:c r="C101" s="44"/>
      <x:c r="D101" s="41"/>
      <x:c r="E101" s="42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3"/>
      <x:c r="X101" s="41"/>
    </x:row>
    <x:row r="102">
      <x:c r="A102" s="44"/>
      <x:c r="B102" s="44"/>
      <x:c r="C102" s="44"/>
      <x:c r="D102" s="41"/>
      <x:c r="E102" s="42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3"/>
      <x:c r="X102" s="41"/>
    </x:row>
    <x:row r="103">
      <x:c r="A103" s="44"/>
      <x:c r="B103" s="44"/>
      <x:c r="C103" s="44"/>
      <x:c r="D103" s="41"/>
      <x:c r="E103" s="42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3"/>
      <x:c r="X103" s="41"/>
    </x:row>
    <x:row r="104">
      <x:c r="A104" s="44"/>
      <x:c r="B104" s="44"/>
      <x:c r="C104" s="44"/>
      <x:c r="D104" s="41"/>
      <x:c r="E104" s="42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3"/>
      <x:c r="X104" s="41"/>
    </x:row>
    <x:row r="105">
      <x:c r="A105" s="44"/>
      <x:c r="B105" s="44"/>
      <x:c r="C105" s="44"/>
      <x:c r="D105" s="41"/>
      <x:c r="E105" s="42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3"/>
      <x:c r="X105" s="41"/>
    </x:row>
    <x:row r="106">
      <x:c r="A106" s="44"/>
      <x:c r="B106" s="44"/>
      <x:c r="C106" s="44"/>
      <x:c r="D106" s="41"/>
      <x:c r="E106" s="42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3"/>
      <x:c r="X106" s="41"/>
    </x:row>
    <x:row r="107">
      <x:c r="A107" s="44"/>
      <x:c r="B107" s="44"/>
      <x:c r="C107" s="44"/>
      <x:c r="D107" s="41"/>
      <x:c r="E107" s="42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3"/>
      <x:c r="X107" s="41"/>
    </x:row>
    <x:row r="108">
      <x:c r="A108" s="44"/>
      <x:c r="B108" s="44"/>
      <x:c r="C108" s="44"/>
      <x:c r="D108" s="41"/>
      <x:c r="E108" s="42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3"/>
      <x:c r="X108" s="41"/>
    </x:row>
    <x:row r="109">
      <x:c r="A109" s="44"/>
      <x:c r="B109" s="44"/>
      <x:c r="C109" s="44"/>
      <x:c r="D109" s="41"/>
      <x:c r="E109" s="42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3"/>
      <x:c r="X109" s="41"/>
    </x:row>
    <x:row r="110">
      <x:c r="A110" s="44"/>
      <x:c r="B110" s="44"/>
      <x:c r="C110" s="44"/>
      <x:c r="D110" s="41"/>
      <x:c r="E110" s="42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3"/>
      <x:c r="X110" s="41"/>
    </x:row>
    <x:row r="111">
      <x:c r="A111" s="44"/>
      <x:c r="B111" s="44"/>
      <x:c r="C111" s="44"/>
      <x:c r="D111" s="41"/>
      <x:c r="E111" s="42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3"/>
      <x:c r="X111" s="41"/>
    </x:row>
    <x:row r="112">
      <x:c r="A112" s="44"/>
      <x:c r="B112" s="44"/>
      <x:c r="C112" s="44"/>
      <x:c r="D112" s="41"/>
      <x:c r="E112" s="42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3"/>
      <x:c r="X112" s="41"/>
    </x:row>
    <x:row r="113">
      <x:c r="A113" s="44"/>
      <x:c r="B113" s="44"/>
      <x:c r="C113" s="44"/>
      <x:c r="D113" s="41"/>
      <x:c r="E113" s="42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3"/>
      <x:c r="X113" s="41"/>
    </x:row>
    <x:row r="114">
      <x:c r="A114" s="44"/>
      <x:c r="B114" s="44"/>
      <x:c r="C114" s="44"/>
      <x:c r="D114" s="41"/>
      <x:c r="E114" s="42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3"/>
      <x:c r="X114" s="41"/>
    </x:row>
    <x:row r="115">
      <x:c r="A115" s="44"/>
      <x:c r="B115" s="44"/>
      <x:c r="C115" s="44"/>
      <x:c r="D115" s="41"/>
      <x:c r="E115" s="42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3"/>
      <x:c r="X115" s="41"/>
    </x:row>
    <x:row r="116">
      <x:c r="A116" s="44"/>
      <x:c r="B116" s="44"/>
      <x:c r="C116" s="44"/>
      <x:c r="D116" s="41"/>
      <x:c r="E116" s="42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3"/>
      <x:c r="X116" s="41"/>
    </x:row>
    <x:row r="117">
      <x:c r="A117" s="44"/>
      <x:c r="B117" s="44"/>
      <x:c r="C117" s="44"/>
      <x:c r="D117" s="41"/>
      <x:c r="E117" s="42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3"/>
      <x:c r="X117" s="41"/>
    </x:row>
    <x:row r="118">
      <x:c r="A118" s="44"/>
      <x:c r="B118" s="44"/>
      <x:c r="C118" s="44"/>
      <x:c r="D118" s="41"/>
      <x:c r="E118" s="42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3"/>
      <x:c r="X118" s="41"/>
    </x:row>
    <x:row r="119">
      <x:c r="A119" s="44"/>
      <x:c r="B119" s="44"/>
      <x:c r="C119" s="44"/>
      <x:c r="D119" s="41"/>
      <x:c r="E119" s="42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3"/>
      <x:c r="X119" s="41"/>
    </x:row>
    <x:row r="120">
      <x:c r="A120" s="44"/>
      <x:c r="B120" s="44"/>
      <x:c r="C120" s="44"/>
      <x:c r="D120" s="41"/>
      <x:c r="E120" s="42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3"/>
      <x:c r="X120" s="41"/>
    </x:row>
    <x:row r="121">
      <x:c r="A121" s="44"/>
      <x:c r="B121" s="44"/>
      <x:c r="C121" s="44"/>
      <x:c r="D121" s="41"/>
      <x:c r="E121" s="42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3"/>
      <x:c r="X121" s="41"/>
    </x:row>
    <x:row r="122">
      <x:c r="A122" s="44"/>
      <x:c r="B122" s="44"/>
      <x:c r="C122" s="44"/>
      <x:c r="D122" s="41"/>
      <x:c r="E122" s="42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3"/>
      <x:c r="X122" s="41"/>
    </x:row>
    <x:row r="123">
      <x:c r="A123" s="44"/>
      <x:c r="B123" s="44"/>
      <x:c r="C123" s="44"/>
      <x:c r="D123" s="41"/>
      <x:c r="E123" s="42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3"/>
      <x:c r="X123" s="41"/>
    </x:row>
    <x:row r="124">
      <x:c r="A124" s="44"/>
      <x:c r="B124" s="44"/>
      <x:c r="C124" s="44"/>
      <x:c r="D124" s="41"/>
      <x:c r="E124" s="42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3"/>
      <x:c r="X124" s="41"/>
    </x:row>
    <x:row r="125">
      <x:c r="A125" s="44"/>
      <x:c r="B125" s="44"/>
      <x:c r="C125" s="44"/>
      <x:c r="D125" s="41"/>
      <x:c r="E125" s="42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3"/>
      <x:c r="X125" s="41"/>
    </x:row>
    <x:row r="126">
      <x:c r="A126" s="44"/>
      <x:c r="B126" s="44"/>
      <x:c r="C126" s="44"/>
      <x:c r="D126" s="41"/>
      <x:c r="E126" s="42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3"/>
      <x:c r="X126" s="41"/>
    </x:row>
    <x:row r="127">
      <x:c r="A127" s="44"/>
      <x:c r="B127" s="44"/>
      <x:c r="C127" s="44"/>
      <x:c r="D127" s="41"/>
      <x:c r="E127" s="42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3"/>
      <x:c r="X127" s="41"/>
    </x:row>
    <x:row r="128">
      <x:c r="A128" s="44"/>
      <x:c r="B128" s="44"/>
      <x:c r="C128" s="44"/>
      <x:c r="D128" s="41"/>
      <x:c r="E128" s="42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3"/>
      <x:c r="X128" s="41"/>
    </x:row>
    <x:row r="129">
      <x:c r="A129" s="44"/>
      <x:c r="B129" s="44"/>
      <x:c r="C129" s="44"/>
      <x:c r="D129" s="41"/>
      <x:c r="E129" s="42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3"/>
      <x:c r="X129" s="41"/>
    </x:row>
    <x:row r="130">
      <x:c r="A130" s="44"/>
      <x:c r="B130" s="44"/>
      <x:c r="C130" s="44"/>
      <x:c r="D130" s="41"/>
      <x:c r="E130" s="42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3"/>
      <x:c r="X130" s="41"/>
    </x:row>
    <x:row r="131">
      <x:c r="A131" s="44"/>
      <x:c r="B131" s="44"/>
      <x:c r="C131" s="44"/>
      <x:c r="D131" s="41"/>
      <x:c r="E131" s="42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3"/>
      <x:c r="X131" s="41"/>
    </x:row>
    <x:row r="132">
      <x:c r="A132" s="44"/>
      <x:c r="B132" s="44"/>
      <x:c r="C132" s="44"/>
      <x:c r="D132" s="41"/>
      <x:c r="E132" s="42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3"/>
      <x:c r="X132" s="41"/>
    </x:row>
    <x:row r="133">
      <x:c r="A133" s="44"/>
      <x:c r="B133" s="44"/>
      <x:c r="C133" s="44"/>
      <x:c r="D133" s="41"/>
      <x:c r="E133" s="42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3"/>
      <x:c r="X133" s="41"/>
    </x:row>
    <x:row r="134">
      <x:c r="A134" s="44"/>
      <x:c r="B134" s="44"/>
      <x:c r="C134" s="44"/>
      <x:c r="D134" s="41"/>
      <x:c r="E134" s="42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3"/>
      <x:c r="X134" s="41"/>
    </x:row>
    <x:row r="135">
      <x:c r="A135" s="44"/>
      <x:c r="B135" s="44"/>
      <x:c r="C135" s="44"/>
      <x:c r="D135" s="41"/>
      <x:c r="E135" s="42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3"/>
      <x:c r="X135" s="41"/>
    </x:row>
    <x:row r="136">
      <x:c r="A136" s="44"/>
      <x:c r="B136" s="44"/>
      <x:c r="C136" s="44"/>
      <x:c r="D136" s="41"/>
      <x:c r="E136" s="42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3"/>
      <x:c r="X136" s="41"/>
    </x:row>
    <x:row r="137">
      <x:c r="A137" s="44"/>
      <x:c r="B137" s="44"/>
      <x:c r="C137" s="44"/>
      <x:c r="D137" s="41"/>
      <x:c r="E137" s="42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3"/>
      <x:c r="X137" s="41"/>
    </x:row>
    <x:row r="138">
      <x:c r="A138" s="44"/>
      <x:c r="B138" s="44"/>
      <x:c r="C138" s="44"/>
      <x:c r="D138" s="41"/>
      <x:c r="E138" s="42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3"/>
      <x:c r="X138" s="41"/>
    </x:row>
    <x:row r="139">
      <x:c r="A139" s="44"/>
      <x:c r="B139" s="44"/>
      <x:c r="C139" s="44"/>
      <x:c r="D139" s="41"/>
      <x:c r="E139" s="42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3"/>
      <x:c r="X139" s="41"/>
    </x:row>
    <x:row r="140">
      <x:c r="A140" s="44"/>
      <x:c r="B140" s="44"/>
      <x:c r="C140" s="44"/>
      <x:c r="D140" s="41"/>
      <x:c r="E140" s="42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3"/>
      <x:c r="X140" s="41"/>
    </x:row>
    <x:row r="141">
      <x:c r="A141" s="44"/>
      <x:c r="B141" s="44"/>
      <x:c r="C141" s="44"/>
      <x:c r="D141" s="41"/>
      <x:c r="E141" s="42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3"/>
      <x:c r="X141" s="41"/>
    </x:row>
    <x:row r="142">
      <x:c r="A142" s="44"/>
      <x:c r="B142" s="44"/>
      <x:c r="C142" s="44"/>
      <x:c r="D142" s="41"/>
      <x:c r="E142" s="42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3"/>
      <x:c r="X142" s="41"/>
    </x:row>
    <x:row r="143">
      <x:c r="A143" s="44"/>
      <x:c r="B143" s="44"/>
      <x:c r="C143" s="44"/>
      <x:c r="D143" s="41"/>
      <x:c r="E143" s="42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3"/>
      <x:c r="X143" s="41"/>
    </x:row>
    <x:row r="144">
      <x:c r="A144" s="44"/>
      <x:c r="B144" s="44"/>
      <x:c r="C144" s="44"/>
      <x:c r="D144" s="41"/>
      <x:c r="E144" s="42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3"/>
      <x:c r="X144" s="41"/>
    </x:row>
    <x:row r="145">
      <x:c r="A145" s="44"/>
      <x:c r="B145" s="44"/>
      <x:c r="C145" s="44"/>
      <x:c r="D145" s="41"/>
      <x:c r="E145" s="42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3"/>
      <x:c r="X145" s="41"/>
    </x:row>
    <x:row r="146">
      <x:c r="A146" s="44"/>
      <x:c r="B146" s="44"/>
      <x:c r="C146" s="44"/>
      <x:c r="D146" s="41"/>
      <x:c r="E146" s="42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3"/>
      <x:c r="X146" s="41"/>
    </x:row>
    <x:row r="147">
      <x:c r="A147" s="44"/>
      <x:c r="B147" s="44"/>
      <x:c r="C147" s="44"/>
      <x:c r="D147" s="41"/>
      <x:c r="E147" s="42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3"/>
      <x:c r="X147" s="41"/>
    </x:row>
    <x:row r="148">
      <x:c r="A148" s="44"/>
      <x:c r="B148" s="44"/>
      <x:c r="C148" s="44"/>
      <x:c r="D148" s="41"/>
      <x:c r="E148" s="42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3"/>
      <x:c r="X148" s="41"/>
    </x:row>
    <x:row r="149">
      <x:c r="A149" s="44"/>
      <x:c r="B149" s="44"/>
      <x:c r="C149" s="44"/>
      <x:c r="D149" s="41"/>
      <x:c r="E149" s="42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3"/>
      <x:c r="X149" s="41"/>
    </x:row>
    <x:row r="150">
      <x:c r="A150" s="44"/>
      <x:c r="B150" s="44"/>
      <x:c r="C150" s="44"/>
      <x:c r="D150" s="41"/>
      <x:c r="E150" s="42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3"/>
      <x:c r="X150" s="41"/>
    </x:row>
    <x:row r="151">
      <x:c r="A151" s="44"/>
      <x:c r="B151" s="44"/>
      <x:c r="C151" s="44"/>
      <x:c r="D151" s="41"/>
      <x:c r="E151" s="42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3"/>
      <x:c r="X151" s="41"/>
    </x:row>
    <x:row r="152">
      <x:c r="A152" s="44"/>
      <x:c r="B152" s="44"/>
      <x:c r="C152" s="44"/>
      <x:c r="D152" s="41"/>
      <x:c r="E152" s="42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3"/>
      <x:c r="X152" s="41"/>
    </x:row>
    <x:row r="153">
      <x:c r="A153" s="44"/>
      <x:c r="B153" s="44"/>
      <x:c r="C153" s="44"/>
      <x:c r="D153" s="41"/>
      <x:c r="E153" s="42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3"/>
      <x:c r="X153" s="41"/>
    </x:row>
    <x:row r="154">
      <x:c r="A154" s="44"/>
      <x:c r="B154" s="44"/>
      <x:c r="C154" s="44"/>
      <x:c r="D154" s="41"/>
      <x:c r="E154" s="42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3"/>
      <x:c r="X154" s="41"/>
    </x:row>
    <x:row r="155">
      <x:c r="A155" s="44"/>
      <x:c r="B155" s="44"/>
      <x:c r="C155" s="44"/>
      <x:c r="D155" s="41"/>
      <x:c r="E155" s="42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3"/>
      <x:c r="X155" s="41"/>
    </x:row>
    <x:row r="156">
      <x:c r="A156" s="44"/>
      <x:c r="B156" s="44"/>
      <x:c r="C156" s="44"/>
      <x:c r="D156" s="41"/>
      <x:c r="E156" s="42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3"/>
      <x:c r="X156" s="41"/>
    </x:row>
    <x:row r="157">
      <x:c r="A157" s="44"/>
      <x:c r="B157" s="44"/>
      <x:c r="C157" s="44"/>
      <x:c r="D157" s="41"/>
      <x:c r="E157" s="42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3"/>
      <x:c r="X157" s="41"/>
    </x:row>
    <x:row r="158">
      <x:c r="A158" s="44"/>
      <x:c r="B158" s="44"/>
      <x:c r="C158" s="44"/>
      <x:c r="D158" s="41"/>
      <x:c r="E158" s="42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3"/>
      <x:c r="X158" s="41"/>
    </x:row>
    <x:row r="159">
      <x:c r="A159" s="44"/>
      <x:c r="B159" s="44"/>
      <x:c r="C159" s="44"/>
      <x:c r="D159" s="41"/>
      <x:c r="E159" s="42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3"/>
      <x:c r="X159" s="41"/>
    </x:row>
    <x:row r="160">
      <x:c r="A160" s="44"/>
      <x:c r="B160" s="44"/>
      <x:c r="C160" s="44"/>
      <x:c r="D160" s="41"/>
      <x:c r="E160" s="42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3"/>
      <x:c r="X160" s="41"/>
    </x:row>
    <x:row r="161">
      <x:c r="A161" s="44"/>
      <x:c r="B161" s="44"/>
      <x:c r="C161" s="44"/>
      <x:c r="D161" s="41"/>
      <x:c r="E161" s="42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3"/>
      <x:c r="X161" s="41"/>
    </x:row>
    <x:row r="162">
      <x:c r="A162" s="44"/>
      <x:c r="B162" s="44"/>
      <x:c r="C162" s="44"/>
      <x:c r="D162" s="41"/>
      <x:c r="E162" s="42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3"/>
      <x:c r="X162" s="41"/>
    </x:row>
    <x:row r="163">
      <x:c r="A163" s="44"/>
      <x:c r="B163" s="44"/>
      <x:c r="C163" s="44"/>
      <x:c r="D163" s="41"/>
      <x:c r="E163" s="42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3"/>
      <x:c r="X163" s="41"/>
    </x:row>
    <x:row r="164">
      <x:c r="A164" s="44"/>
      <x:c r="B164" s="44"/>
      <x:c r="C164" s="44"/>
      <x:c r="D164" s="41"/>
      <x:c r="E164" s="42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3"/>
      <x:c r="X164" s="41"/>
    </x:row>
    <x:row r="165">
      <x:c r="A165" s="44"/>
      <x:c r="B165" s="44"/>
      <x:c r="C165" s="44"/>
      <x:c r="D165" s="41"/>
      <x:c r="E165" s="42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3"/>
      <x:c r="X165" s="41"/>
    </x:row>
    <x:row r="166">
      <x:c r="A166" s="44"/>
      <x:c r="B166" s="44"/>
      <x:c r="C166" s="44"/>
      <x:c r="D166" s="41"/>
      <x:c r="E166" s="42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3"/>
      <x:c r="X166" s="41"/>
    </x:row>
    <x:row r="167">
      <x:c r="A167" s="44"/>
      <x:c r="B167" s="44"/>
      <x:c r="C167" s="44"/>
      <x:c r="D167" s="41"/>
      <x:c r="E167" s="42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3"/>
      <x:c r="X167" s="41"/>
    </x:row>
    <x:row r="168">
      <x:c r="A168" s="44"/>
      <x:c r="B168" s="44"/>
      <x:c r="C168" s="44"/>
      <x:c r="D168" s="41"/>
      <x:c r="E168" s="42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3"/>
      <x:c r="X168" s="41"/>
    </x:row>
    <x:row r="169">
      <x:c r="A169" s="44"/>
      <x:c r="B169" s="44"/>
      <x:c r="C169" s="44"/>
      <x:c r="D169" s="41"/>
      <x:c r="E169" s="42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3"/>
      <x:c r="X169" s="41"/>
    </x:row>
    <x:row r="170">
      <x:c r="A170" s="44"/>
      <x:c r="B170" s="44"/>
      <x:c r="C170" s="44"/>
      <x:c r="D170" s="41"/>
      <x:c r="E170" s="42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3"/>
      <x:c r="X170" s="41"/>
    </x:row>
    <x:row r="171">
      <x:c r="A171" s="44"/>
      <x:c r="B171" s="44"/>
      <x:c r="C171" s="44"/>
      <x:c r="D171" s="41"/>
      <x:c r="E171" s="42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3"/>
      <x:c r="X171" s="41"/>
    </x:row>
    <x:row r="172">
      <x:c r="A172" s="44"/>
      <x:c r="B172" s="44"/>
      <x:c r="C172" s="44"/>
      <x:c r="D172" s="41"/>
      <x:c r="E172" s="42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3"/>
      <x:c r="X172" s="41"/>
    </x:row>
    <x:row r="173">
      <x:c r="A173" s="44"/>
      <x:c r="B173" s="44"/>
      <x:c r="C173" s="44"/>
      <x:c r="D173" s="41"/>
      <x:c r="E173" s="42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3"/>
      <x:c r="X173" s="41"/>
    </x:row>
    <x:row r="174">
      <x:c r="A174" s="44"/>
      <x:c r="B174" s="44"/>
      <x:c r="C174" s="44"/>
      <x:c r="D174" s="41"/>
      <x:c r="E174" s="42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3"/>
      <x:c r="X174" s="41"/>
    </x:row>
    <x:row r="175">
      <x:c r="A175" s="44"/>
      <x:c r="B175" s="44"/>
      <x:c r="C175" s="44"/>
      <x:c r="D175" s="41"/>
      <x:c r="E175" s="42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3"/>
      <x:c r="X175" s="41"/>
    </x:row>
    <x:row r="176">
      <x:c r="A176" s="44"/>
      <x:c r="B176" s="44"/>
      <x:c r="C176" s="44"/>
      <x:c r="D176" s="41"/>
      <x:c r="E176" s="42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3"/>
      <x:c r="X176" s="41"/>
    </x:row>
    <x:row r="177">
      <x:c r="A177" s="44"/>
      <x:c r="B177" s="44"/>
      <x:c r="C177" s="44"/>
      <x:c r="D177" s="41"/>
      <x:c r="E177" s="42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3"/>
      <x:c r="X177" s="41"/>
    </x:row>
    <x:row r="178">
      <x:c r="A178" s="44"/>
      <x:c r="B178" s="44"/>
      <x:c r="C178" s="44"/>
      <x:c r="D178" s="41"/>
      <x:c r="E178" s="42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3"/>
      <x:c r="X178" s="41"/>
    </x:row>
    <x:row r="179">
      <x:c r="A179" s="44"/>
      <x:c r="B179" s="44"/>
      <x:c r="C179" s="44"/>
      <x:c r="D179" s="41"/>
      <x:c r="E179" s="42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3"/>
      <x:c r="X179" s="41"/>
    </x:row>
    <x:row r="180">
      <x:c r="A180" s="44"/>
      <x:c r="B180" s="44"/>
      <x:c r="C180" s="44"/>
      <x:c r="D180" s="41"/>
      <x:c r="E180" s="42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3"/>
      <x:c r="X180" s="41"/>
    </x:row>
    <x:row r="181">
      <x:c r="A181" s="44"/>
      <x:c r="B181" s="44"/>
      <x:c r="C181" s="44"/>
      <x:c r="D181" s="41"/>
      <x:c r="E181" s="42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3"/>
      <x:c r="X181" s="41"/>
    </x:row>
    <x:row r="182">
      <x:c r="A182" s="44"/>
      <x:c r="B182" s="44"/>
      <x:c r="C182" s="44"/>
      <x:c r="D182" s="41"/>
      <x:c r="E182" s="42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3"/>
      <x:c r="X182" s="41"/>
    </x:row>
    <x:row r="183">
      <x:c r="A183" s="44"/>
      <x:c r="B183" s="44"/>
      <x:c r="C183" s="44"/>
      <x:c r="D183" s="41"/>
      <x:c r="E183" s="42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3"/>
      <x:c r="X183" s="41"/>
    </x:row>
    <x:row r="184">
      <x:c r="A184" s="44"/>
      <x:c r="B184" s="44"/>
      <x:c r="C184" s="44"/>
      <x:c r="D184" s="41"/>
      <x:c r="E184" s="42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3"/>
      <x:c r="X184" s="41"/>
    </x:row>
    <x:row r="185">
      <x:c r="A185" s="44"/>
      <x:c r="B185" s="44"/>
      <x:c r="C185" s="44"/>
      <x:c r="D185" s="41"/>
      <x:c r="E185" s="42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3"/>
      <x:c r="X185" s="41"/>
    </x:row>
    <x:row r="186">
      <x:c r="A186" s="44"/>
      <x:c r="B186" s="44"/>
      <x:c r="C186" s="44"/>
      <x:c r="D186" s="41"/>
      <x:c r="E186" s="42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3"/>
      <x:c r="X186" s="41"/>
    </x:row>
    <x:row r="187">
      <x:c r="A187" s="44"/>
      <x:c r="B187" s="44"/>
      <x:c r="C187" s="44"/>
      <x:c r="D187" s="41"/>
      <x:c r="E187" s="42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3"/>
      <x:c r="X187" s="41"/>
    </x:row>
    <x:row r="188">
      <x:c r="A188" s="44"/>
      <x:c r="B188" s="44"/>
      <x:c r="C188" s="44"/>
      <x:c r="D188" s="41"/>
      <x:c r="E188" s="42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3"/>
      <x:c r="X188" s="41"/>
    </x:row>
    <x:row r="189">
      <x:c r="A189" s="44"/>
      <x:c r="B189" s="44"/>
      <x:c r="C189" s="44"/>
      <x:c r="D189" s="41"/>
      <x:c r="E189" s="42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3"/>
      <x:c r="X189" s="41"/>
    </x:row>
    <x:row r="190">
      <x:c r="A190" s="44"/>
      <x:c r="B190" s="44"/>
      <x:c r="C190" s="44"/>
      <x:c r="D190" s="41"/>
      <x:c r="E190" s="42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3"/>
      <x:c r="X190" s="41"/>
    </x:row>
    <x:row r="191">
      <x:c r="A191" s="44"/>
      <x:c r="B191" s="44"/>
      <x:c r="C191" s="44"/>
      <x:c r="D191" s="41"/>
      <x:c r="E191" s="42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3"/>
      <x:c r="X191" s="41"/>
    </x:row>
    <x:row r="192">
      <x:c r="A192" s="44"/>
      <x:c r="B192" s="44"/>
      <x:c r="C192" s="44"/>
      <x:c r="D192" s="41"/>
      <x:c r="E192" s="42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3"/>
      <x:c r="X192" s="41"/>
    </x:row>
    <x:row r="193">
      <x:c r="A193" s="44"/>
      <x:c r="B193" s="44"/>
      <x:c r="C193" s="44"/>
      <x:c r="D193" s="41"/>
      <x:c r="E193" s="42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3"/>
      <x:c r="X193" s="41"/>
    </x:row>
    <x:row r="194">
      <x:c r="A194" s="44"/>
      <x:c r="B194" s="44"/>
      <x:c r="C194" s="44"/>
      <x:c r="D194" s="41"/>
      <x:c r="E194" s="42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3"/>
      <x:c r="X194" s="41"/>
    </x:row>
    <x:row r="195">
      <x:c r="A195" s="44"/>
      <x:c r="B195" s="44"/>
      <x:c r="C195" s="44"/>
      <x:c r="D195" s="41"/>
      <x:c r="E195" s="42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3"/>
      <x:c r="X195" s="41"/>
    </x:row>
    <x:row r="196">
      <x:c r="A196" s="44"/>
      <x:c r="B196" s="44"/>
      <x:c r="C196" s="44"/>
      <x:c r="D196" s="41"/>
      <x:c r="E196" s="42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3"/>
      <x:c r="X196" s="41"/>
    </x:row>
    <x:row r="197">
      <x:c r="A197" s="44"/>
      <x:c r="B197" s="44"/>
      <x:c r="C197" s="44"/>
      <x:c r="D197" s="41"/>
      <x:c r="E197" s="42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3"/>
      <x:c r="X197" s="41"/>
    </x:row>
    <x:row r="198">
      <x:c r="A198" s="44"/>
      <x:c r="B198" s="44"/>
      <x:c r="C198" s="44"/>
      <x:c r="D198" s="41"/>
      <x:c r="E198" s="42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3"/>
      <x:c r="X198" s="41"/>
    </x:row>
    <x:row r="199">
      <x:c r="A199" s="44"/>
      <x:c r="B199" s="44"/>
      <x:c r="C199" s="44"/>
      <x:c r="D199" s="41"/>
      <x:c r="E199" s="42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3"/>
      <x:c r="X199" s="41"/>
    </x:row>
    <x:row r="200">
      <x:c r="A200" s="44"/>
      <x:c r="B200" s="44"/>
      <x:c r="C200" s="44"/>
      <x:c r="D200" s="41"/>
      <x:c r="E200" s="42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3"/>
      <x:c r="X200" s="41"/>
    </x:row>
    <x:row r="201">
      <x:c r="A201" s="44"/>
      <x:c r="B201" s="44"/>
      <x:c r="C201" s="44"/>
      <x:c r="D201" s="41"/>
      <x:c r="E201" s="42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3"/>
      <x:c r="X201" s="4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</x:row>
  </x:sheetData>
  <x:conditionalFormatting sqref="S2:S201">
    <x:cfRule type="containsText" dxfId="0" priority="1" operator="containsText" text="include"/>
    <x:cfRule type="containsText" dxfId="1" priority="2" operator="containsText" text="exclude"/>
    <x:cfRule type="containsText" dxfId="2" priority="3" operator="containsText" text="maybe"/>
  </x:conditionalFormatting>
  <x:dataValidations count="6">
    <x:dataValidation type="list" sqref="S2:S201">
      <x:formula1>"include,exclude,maybe,not_screened"</x:formula1>
    </x:dataValidation>
    <x:dataValidation type="list" sqref="H2:H201">
      <x:formula1>"journal,conference,review,thesis,preprint,other"</x:formula1>
    </x:dataValidation>
    <x:dataValidation type="list" sqref="I2:I201">
      <x:formula1>"INS-GNSS estimation,fault detection and isolation,learning-assisted Kalman filtering,fault-tolerant control,closed-loop resilience,verification and safety,other"</x:formula1>
    </x:dataValidation>
    <x:dataValidation type="list" sqref="J2:J201">
      <x:formula1>"multirotor,fixed-wing,generic UAV,non-UAV,other,not_reported"</x:formula1>
    </x:dataValidation>
    <x:dataValidation type="list" sqref="N2:N201">
      <x:formula1>"IMU,GNSS dropout,GNSS spoofing,actuator,multiple,other,none,not_reported"</x:formula1>
    </x:dataValidation>
    <x:dataValidation type="list" sqref="O2:O201">
      <x:formula1>"theoretical,simulation,SIL,HIL,flight test,mixed,not_reported"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a4b99ab1b441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3" hidden="0" customWidth="1"/>
    <x:col min="10" max="10" width="23" hidden="0" customWidth="1"/>
    <x:col min="11" max="11" width="23" hidden="0" customWidth="1"/>
    <x:col min="12" max="12" width="1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16" hidden="0" customWidth="1"/>
    <x:col min="18" max="18" width="16" hidden="0" customWidth="1"/>
  </x:cols>
  <x:sheetData>
    <x:row r="1" ht="40" customHeight="1">
      <x:c r="A1" s="13" t="str">
        <x:v>Finding ID</x:v>
      </x:c>
      <x:c r="B1" s="38" t="str">
        <x:v>Study ID</x:v>
      </x:c>
      <x:c r="C1" s="38" t="str">
        <x:v>Review Objective / Claim</x:v>
      </x:c>
      <x:c r="D1" s="38" t="str">
        <x:v>Metric</x:v>
      </x:c>
      <x:c r="E1" s="38" t="str">
        <x:v>Reported Value</x:v>
      </x:c>
      <x:c r="F1" s="38" t="str">
        <x:v>Unit</x:v>
      </x:c>
      <x:c r="G1" s="38" t="str">
        <x:v>Uncertainty</x:v>
      </x:c>
      <x:c r="H1" s="38" t="str">
        <x:v>Sample / Trial Count</x:v>
      </x:c>
      <x:c r="I1" s="38" t="str">
        <x:v>Baseline / Comparator</x:v>
      </x:c>
      <x:c r="J1" s="38" t="str">
        <x:v>Direction</x:v>
      </x:c>
      <x:c r="K1" s="38" t="str">
        <x:v>Evidence Type</x:v>
      </x:c>
      <x:c r="L1" s="38" t="str">
        <x:v>Source Locator</x:v>
      </x:c>
      <x:c r="M1" s="38" t="str">
        <x:v>Paraphrased Finding</x:v>
      </x:c>
      <x:c r="N1" s="38" t="str">
        <x:v>Reviewer Interpretation</x:v>
      </x:c>
      <x:c r="O1" s="38" t="str">
        <x:v>Limitation</x:v>
      </x:c>
      <x:c r="P1" s="38" t="str">
        <x:v>Applicability to UAV-FMS</x:v>
      </x:c>
      <x:c r="Q1" s="38" t="str">
        <x:v>Reviewer</x:v>
      </x:c>
      <x:c r="R1" s="14" t="str">
        <x:v>Extraction Date</x:v>
      </x:c>
    </x:row>
    <x:row r="2">
      <x:c r="A2" s="44"/>
      <x:c r="B2" s="44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3"/>
    </x:row>
    <x:row r="3">
      <x:c r="A3" s="44"/>
      <x:c r="B3" s="44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3"/>
    </x:row>
    <x:row r="4">
      <x:c r="A4" s="44"/>
      <x:c r="B4" s="44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3"/>
    </x:row>
    <x:row r="5">
      <x:c r="A5" s="44"/>
      <x:c r="B5" s="44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3"/>
    </x:row>
    <x:row r="6">
      <x:c r="A6" s="44"/>
      <x:c r="B6" s="44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3"/>
    </x:row>
    <x:row r="7">
      <x:c r="A7" s="44"/>
      <x:c r="B7" s="44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3"/>
    </x:row>
    <x:row r="8">
      <x:c r="A8" s="44"/>
      <x:c r="B8" s="44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3"/>
    </x:row>
    <x:row r="9">
      <x:c r="A9" s="44"/>
      <x:c r="B9" s="44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3"/>
    </x:row>
    <x:row r="10">
      <x:c r="A10" s="44"/>
      <x:c r="B10" s="44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3"/>
    </x:row>
    <x:row r="11">
      <x:c r="A11" s="44"/>
      <x:c r="B11" s="44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3"/>
    </x:row>
    <x:row r="12">
      <x:c r="A12" s="44"/>
      <x:c r="B12" s="44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3"/>
    </x:row>
    <x:row r="13">
      <x:c r="A13" s="44"/>
      <x:c r="B13" s="44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3"/>
    </x:row>
    <x:row r="14">
      <x:c r="A14" s="44"/>
      <x:c r="B14" s="44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3"/>
    </x:row>
    <x:row r="15">
      <x:c r="A15" s="44"/>
      <x:c r="B15" s="44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3"/>
    </x:row>
    <x:row r="16">
      <x:c r="A16" s="44"/>
      <x:c r="B16" s="44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3"/>
    </x:row>
    <x:row r="17">
      <x:c r="A17" s="44"/>
      <x:c r="B17" s="44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3"/>
    </x:row>
    <x:row r="18">
      <x:c r="A18" s="44"/>
      <x:c r="B18" s="44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3"/>
    </x:row>
    <x:row r="19">
      <x:c r="A19" s="44"/>
      <x:c r="B19" s="44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3"/>
    </x:row>
    <x:row r="20">
      <x:c r="A20" s="44"/>
      <x:c r="B20" s="44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3"/>
    </x:row>
    <x:row r="21">
      <x:c r="A21" s="44"/>
      <x:c r="B21" s="44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3"/>
    </x:row>
    <x:row r="22">
      <x:c r="A22" s="44"/>
      <x:c r="B22" s="44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3"/>
    </x:row>
    <x:row r="23">
      <x:c r="A23" s="44"/>
      <x:c r="B23" s="44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3"/>
    </x:row>
    <x:row r="24">
      <x:c r="A24" s="44"/>
      <x:c r="B24" s="44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3"/>
    </x:row>
    <x:row r="25">
      <x:c r="A25" s="44"/>
      <x:c r="B25" s="44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3"/>
    </x:row>
    <x:row r="26">
      <x:c r="A26" s="44"/>
      <x:c r="B26" s="44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3"/>
    </x:row>
    <x:row r="27">
      <x:c r="A27" s="44"/>
      <x:c r="B27" s="44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3"/>
    </x:row>
    <x:row r="28">
      <x:c r="A28" s="44"/>
      <x:c r="B28" s="44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3"/>
    </x:row>
    <x:row r="29">
      <x:c r="A29" s="44"/>
      <x:c r="B29" s="44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3"/>
    </x:row>
    <x:row r="30">
      <x:c r="A30" s="44"/>
      <x:c r="B30" s="44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3"/>
    </x:row>
    <x:row r="31">
      <x:c r="A31" s="44"/>
      <x:c r="B31" s="44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3"/>
    </x:row>
    <x:row r="32">
      <x:c r="A32" s="44"/>
      <x:c r="B32" s="44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3"/>
    </x:row>
    <x:row r="33">
      <x:c r="A33" s="44"/>
      <x:c r="B33" s="44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3"/>
    </x:row>
    <x:row r="34">
      <x:c r="A34" s="44"/>
      <x:c r="B34" s="44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3"/>
    </x:row>
    <x:row r="35">
      <x:c r="A35" s="44"/>
      <x:c r="B35" s="44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3"/>
    </x:row>
    <x:row r="36">
      <x:c r="A36" s="44"/>
      <x:c r="B36" s="44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3"/>
    </x:row>
    <x:row r="37">
      <x:c r="A37" s="44"/>
      <x:c r="B37" s="44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3"/>
    </x:row>
    <x:row r="38">
      <x:c r="A38" s="44"/>
      <x:c r="B38" s="44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3"/>
    </x:row>
    <x:row r="39">
      <x:c r="A39" s="44"/>
      <x:c r="B39" s="44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3"/>
    </x:row>
    <x:row r="40">
      <x:c r="A40" s="44"/>
      <x:c r="B40" s="44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3"/>
    </x:row>
    <x:row r="41">
      <x:c r="A41" s="44"/>
      <x:c r="B41" s="44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3"/>
    </x:row>
    <x:row r="42">
      <x:c r="A42" s="44"/>
      <x:c r="B42" s="44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3"/>
    </x:row>
    <x:row r="43">
      <x:c r="A43" s="44"/>
      <x:c r="B43" s="44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3"/>
    </x:row>
    <x:row r="44">
      <x:c r="A44" s="44"/>
      <x:c r="B44" s="44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3"/>
    </x:row>
    <x:row r="45">
      <x:c r="A45" s="44"/>
      <x:c r="B45" s="44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3"/>
    </x:row>
    <x:row r="46">
      <x:c r="A46" s="44"/>
      <x:c r="B46" s="44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3"/>
    </x:row>
    <x:row r="47">
      <x:c r="A47" s="44"/>
      <x:c r="B47" s="44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3"/>
    </x:row>
    <x:row r="48">
      <x:c r="A48" s="44"/>
      <x:c r="B48" s="44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3"/>
    </x:row>
    <x:row r="49">
      <x:c r="A49" s="44"/>
      <x:c r="B49" s="44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3"/>
    </x:row>
    <x:row r="50">
      <x:c r="A50" s="44"/>
      <x:c r="B50" s="44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3"/>
    </x:row>
    <x:row r="51">
      <x:c r="A51" s="44"/>
      <x:c r="B51" s="44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3"/>
    </x:row>
    <x:row r="52">
      <x:c r="A52" s="44"/>
      <x:c r="B52" s="44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3"/>
    </x:row>
    <x:row r="53">
      <x:c r="A53" s="44"/>
      <x:c r="B53" s="44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3"/>
    </x:row>
    <x:row r="54">
      <x:c r="A54" s="44"/>
      <x:c r="B54" s="44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3"/>
    </x:row>
    <x:row r="55">
      <x:c r="A55" s="44"/>
      <x:c r="B55" s="44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3"/>
    </x:row>
    <x:row r="56">
      <x:c r="A56" s="44"/>
      <x:c r="B56" s="44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3"/>
    </x:row>
    <x:row r="57">
      <x:c r="A57" s="44"/>
      <x:c r="B57" s="44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3"/>
    </x:row>
    <x:row r="58">
      <x:c r="A58" s="44"/>
      <x:c r="B58" s="44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3"/>
    </x:row>
    <x:row r="59">
      <x:c r="A59" s="44"/>
      <x:c r="B59" s="44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3"/>
    </x:row>
    <x:row r="60">
      <x:c r="A60" s="44"/>
      <x:c r="B60" s="44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3"/>
    </x:row>
    <x:row r="61">
      <x:c r="A61" s="44"/>
      <x:c r="B61" s="44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3"/>
    </x:row>
    <x:row r="62">
      <x:c r="A62" s="44"/>
      <x:c r="B62" s="44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3"/>
    </x:row>
    <x:row r="63">
      <x:c r="A63" s="44"/>
      <x:c r="B63" s="44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3"/>
    </x:row>
    <x:row r="64">
      <x:c r="A64" s="44"/>
      <x:c r="B64" s="44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3"/>
    </x:row>
    <x:row r="65">
      <x:c r="A65" s="44"/>
      <x:c r="B65" s="44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3"/>
    </x:row>
    <x:row r="66">
      <x:c r="A66" s="44"/>
      <x:c r="B66" s="44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3"/>
    </x:row>
    <x:row r="67">
      <x:c r="A67" s="44"/>
      <x:c r="B67" s="44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3"/>
    </x:row>
    <x:row r="68">
      <x:c r="A68" s="44"/>
      <x:c r="B68" s="44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3"/>
    </x:row>
    <x:row r="69">
      <x:c r="A69" s="44"/>
      <x:c r="B69" s="44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3"/>
    </x:row>
    <x:row r="70">
      <x:c r="A70" s="44"/>
      <x:c r="B70" s="44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3"/>
    </x:row>
    <x:row r="71">
      <x:c r="A71" s="44"/>
      <x:c r="B71" s="44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3"/>
    </x:row>
    <x:row r="72">
      <x:c r="A72" s="44"/>
      <x:c r="B72" s="44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3"/>
    </x:row>
    <x:row r="73">
      <x:c r="A73" s="44"/>
      <x:c r="B73" s="44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3"/>
    </x:row>
    <x:row r="74">
      <x:c r="A74" s="44"/>
      <x:c r="B74" s="44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3"/>
    </x:row>
    <x:row r="75">
      <x:c r="A75" s="44"/>
      <x:c r="B75" s="44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3"/>
    </x:row>
    <x:row r="76">
      <x:c r="A76" s="44"/>
      <x:c r="B76" s="44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3"/>
    </x:row>
    <x:row r="77">
      <x:c r="A77" s="44"/>
      <x:c r="B77" s="44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3"/>
    </x:row>
    <x:row r="78">
      <x:c r="A78" s="44"/>
      <x:c r="B78" s="44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3"/>
    </x:row>
    <x:row r="79">
      <x:c r="A79" s="44"/>
      <x:c r="B79" s="44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3"/>
    </x:row>
    <x:row r="80">
      <x:c r="A80" s="44"/>
      <x:c r="B80" s="44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3"/>
    </x:row>
    <x:row r="81">
      <x:c r="A81" s="44"/>
      <x:c r="B81" s="44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3"/>
    </x:row>
    <x:row r="82">
      <x:c r="A82" s="44"/>
      <x:c r="B82" s="44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3"/>
    </x:row>
    <x:row r="83">
      <x:c r="A83" s="44"/>
      <x:c r="B83" s="44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3"/>
    </x:row>
    <x:row r="84">
      <x:c r="A84" s="44"/>
      <x:c r="B84" s="44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3"/>
    </x:row>
    <x:row r="85">
      <x:c r="A85" s="44"/>
      <x:c r="B85" s="44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3"/>
    </x:row>
    <x:row r="86">
      <x:c r="A86" s="44"/>
      <x:c r="B86" s="44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3"/>
    </x:row>
    <x:row r="87">
      <x:c r="A87" s="44"/>
      <x:c r="B87" s="44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3"/>
    </x:row>
    <x:row r="88">
      <x:c r="A88" s="44"/>
      <x:c r="B88" s="44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3"/>
    </x:row>
    <x:row r="89">
      <x:c r="A89" s="44"/>
      <x:c r="B89" s="44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3"/>
    </x:row>
    <x:row r="90">
      <x:c r="A90" s="44"/>
      <x:c r="B90" s="44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3"/>
    </x:row>
    <x:row r="91">
      <x:c r="A91" s="44"/>
      <x:c r="B91" s="44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3"/>
    </x:row>
    <x:row r="92">
      <x:c r="A92" s="44"/>
      <x:c r="B92" s="44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3"/>
    </x:row>
    <x:row r="93">
      <x:c r="A93" s="44"/>
      <x:c r="B93" s="44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3"/>
    </x:row>
    <x:row r="94">
      <x:c r="A94" s="44"/>
      <x:c r="B94" s="44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3"/>
    </x:row>
    <x:row r="95">
      <x:c r="A95" s="44"/>
      <x:c r="B95" s="44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3"/>
    </x:row>
    <x:row r="96">
      <x:c r="A96" s="44"/>
      <x:c r="B96" s="44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3"/>
    </x:row>
    <x:row r="97">
      <x:c r="A97" s="44"/>
      <x:c r="B97" s="44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3"/>
    </x:row>
    <x:row r="98">
      <x:c r="A98" s="44"/>
      <x:c r="B98" s="44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3"/>
    </x:row>
    <x:row r="99">
      <x:c r="A99" s="44"/>
      <x:c r="B99" s="44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3"/>
    </x:row>
    <x:row r="100">
      <x:c r="A100" s="44"/>
      <x:c r="B100" s="44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3"/>
    </x:row>
    <x:row r="101">
      <x:c r="A101" s="44"/>
      <x:c r="B101" s="44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3"/>
    </x:row>
    <x:row r="102">
      <x:c r="A102" s="44"/>
      <x:c r="B102" s="44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3"/>
    </x:row>
    <x:row r="103">
      <x:c r="A103" s="44"/>
      <x:c r="B103" s="44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3"/>
    </x:row>
    <x:row r="104">
      <x:c r="A104" s="44"/>
      <x:c r="B104" s="44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3"/>
    </x:row>
    <x:row r="105">
      <x:c r="A105" s="44"/>
      <x:c r="B105" s="44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3"/>
    </x:row>
    <x:row r="106">
      <x:c r="A106" s="44"/>
      <x:c r="B106" s="44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3"/>
    </x:row>
    <x:row r="107">
      <x:c r="A107" s="44"/>
      <x:c r="B107" s="44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3"/>
    </x:row>
    <x:row r="108">
      <x:c r="A108" s="44"/>
      <x:c r="B108" s="44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3"/>
    </x:row>
    <x:row r="109">
      <x:c r="A109" s="44"/>
      <x:c r="B109" s="44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3"/>
    </x:row>
    <x:row r="110">
      <x:c r="A110" s="44"/>
      <x:c r="B110" s="44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3"/>
    </x:row>
    <x:row r="111">
      <x:c r="A111" s="44"/>
      <x:c r="B111" s="44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3"/>
    </x:row>
    <x:row r="112">
      <x:c r="A112" s="44"/>
      <x:c r="B112" s="44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3"/>
    </x:row>
    <x:row r="113">
      <x:c r="A113" s="44"/>
      <x:c r="B113" s="44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3"/>
    </x:row>
    <x:row r="114">
      <x:c r="A114" s="44"/>
      <x:c r="B114" s="44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3"/>
    </x:row>
    <x:row r="115">
      <x:c r="A115" s="44"/>
      <x:c r="B115" s="44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3"/>
    </x:row>
    <x:row r="116">
      <x:c r="A116" s="44"/>
      <x:c r="B116" s="44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3"/>
    </x:row>
    <x:row r="117">
      <x:c r="A117" s="44"/>
      <x:c r="B117" s="44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3"/>
    </x:row>
    <x:row r="118">
      <x:c r="A118" s="44"/>
      <x:c r="B118" s="44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3"/>
    </x:row>
    <x:row r="119">
      <x:c r="A119" s="44"/>
      <x:c r="B119" s="44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3"/>
    </x:row>
    <x:row r="120">
      <x:c r="A120" s="44"/>
      <x:c r="B120" s="44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3"/>
    </x:row>
    <x:row r="121">
      <x:c r="A121" s="44"/>
      <x:c r="B121" s="44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3"/>
    </x:row>
    <x:row r="122">
      <x:c r="A122" s="44"/>
      <x:c r="B122" s="44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3"/>
    </x:row>
    <x:row r="123">
      <x:c r="A123" s="44"/>
      <x:c r="B123" s="44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3"/>
    </x:row>
    <x:row r="124">
      <x:c r="A124" s="44"/>
      <x:c r="B124" s="44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3"/>
    </x:row>
    <x:row r="125">
      <x:c r="A125" s="44"/>
      <x:c r="B125" s="44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3"/>
    </x:row>
    <x:row r="126">
      <x:c r="A126" s="44"/>
      <x:c r="B126" s="44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3"/>
    </x:row>
    <x:row r="127">
      <x:c r="A127" s="44"/>
      <x:c r="B127" s="44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3"/>
    </x:row>
    <x:row r="128">
      <x:c r="A128" s="44"/>
      <x:c r="B128" s="44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3"/>
    </x:row>
    <x:row r="129">
      <x:c r="A129" s="44"/>
      <x:c r="B129" s="44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3"/>
    </x:row>
    <x:row r="130">
      <x:c r="A130" s="44"/>
      <x:c r="B130" s="44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3"/>
    </x:row>
    <x:row r="131">
      <x:c r="A131" s="44"/>
      <x:c r="B131" s="44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3"/>
    </x:row>
    <x:row r="132">
      <x:c r="A132" s="44"/>
      <x:c r="B132" s="44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3"/>
    </x:row>
    <x:row r="133">
      <x:c r="A133" s="44"/>
      <x:c r="B133" s="44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3"/>
    </x:row>
    <x:row r="134">
      <x:c r="A134" s="44"/>
      <x:c r="B134" s="44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3"/>
    </x:row>
    <x:row r="135">
      <x:c r="A135" s="44"/>
      <x:c r="B135" s="44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3"/>
    </x:row>
    <x:row r="136">
      <x:c r="A136" s="44"/>
      <x:c r="B136" s="44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3"/>
    </x:row>
    <x:row r="137">
      <x:c r="A137" s="44"/>
      <x:c r="B137" s="44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3"/>
    </x:row>
    <x:row r="138">
      <x:c r="A138" s="44"/>
      <x:c r="B138" s="44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3"/>
    </x:row>
    <x:row r="139">
      <x:c r="A139" s="44"/>
      <x:c r="B139" s="44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3"/>
    </x:row>
    <x:row r="140">
      <x:c r="A140" s="44"/>
      <x:c r="B140" s="44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3"/>
    </x:row>
    <x:row r="141">
      <x:c r="A141" s="44"/>
      <x:c r="B141" s="44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3"/>
    </x:row>
    <x:row r="142">
      <x:c r="A142" s="44"/>
      <x:c r="B142" s="44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3"/>
    </x:row>
    <x:row r="143">
      <x:c r="A143" s="44"/>
      <x:c r="B143" s="44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3"/>
    </x:row>
    <x:row r="144">
      <x:c r="A144" s="44"/>
      <x:c r="B144" s="44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3"/>
    </x:row>
    <x:row r="145">
      <x:c r="A145" s="44"/>
      <x:c r="B145" s="44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3"/>
    </x:row>
    <x:row r="146">
      <x:c r="A146" s="44"/>
      <x:c r="B146" s="44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3"/>
    </x:row>
    <x:row r="147">
      <x:c r="A147" s="44"/>
      <x:c r="B147" s="44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3"/>
    </x:row>
    <x:row r="148">
      <x:c r="A148" s="44"/>
      <x:c r="B148" s="44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3"/>
    </x:row>
    <x:row r="149">
      <x:c r="A149" s="44"/>
      <x:c r="B149" s="44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3"/>
    </x:row>
    <x:row r="150">
      <x:c r="A150" s="44"/>
      <x:c r="B150" s="44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3"/>
    </x:row>
    <x:row r="151">
      <x:c r="A151" s="44"/>
      <x:c r="B151" s="44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3"/>
    </x:row>
    <x:row r="152">
      <x:c r="A152" s="44"/>
      <x:c r="B152" s="44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3"/>
    </x:row>
    <x:row r="153">
      <x:c r="A153" s="44"/>
      <x:c r="B153" s="44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3"/>
    </x:row>
    <x:row r="154">
      <x:c r="A154" s="44"/>
      <x:c r="B154" s="44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3"/>
    </x:row>
    <x:row r="155">
      <x:c r="A155" s="44"/>
      <x:c r="B155" s="44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3"/>
    </x:row>
    <x:row r="156">
      <x:c r="A156" s="44"/>
      <x:c r="B156" s="44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3"/>
    </x:row>
    <x:row r="157">
      <x:c r="A157" s="44"/>
      <x:c r="B157" s="44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3"/>
    </x:row>
    <x:row r="158">
      <x:c r="A158" s="44"/>
      <x:c r="B158" s="44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3"/>
    </x:row>
    <x:row r="159">
      <x:c r="A159" s="44"/>
      <x:c r="B159" s="44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3"/>
    </x:row>
    <x:row r="160">
      <x:c r="A160" s="44"/>
      <x:c r="B160" s="44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3"/>
    </x:row>
    <x:row r="161">
      <x:c r="A161" s="44"/>
      <x:c r="B161" s="44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3"/>
    </x:row>
    <x:row r="162">
      <x:c r="A162" s="44"/>
      <x:c r="B162" s="44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3"/>
    </x:row>
    <x:row r="163">
      <x:c r="A163" s="44"/>
      <x:c r="B163" s="44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3"/>
    </x:row>
    <x:row r="164">
      <x:c r="A164" s="44"/>
      <x:c r="B164" s="44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3"/>
    </x:row>
    <x:row r="165">
      <x:c r="A165" s="44"/>
      <x:c r="B165" s="44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3"/>
    </x:row>
    <x:row r="166">
      <x:c r="A166" s="44"/>
      <x:c r="B166" s="44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3"/>
    </x:row>
    <x:row r="167">
      <x:c r="A167" s="44"/>
      <x:c r="B167" s="44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3"/>
    </x:row>
    <x:row r="168">
      <x:c r="A168" s="44"/>
      <x:c r="B168" s="44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3"/>
    </x:row>
    <x:row r="169">
      <x:c r="A169" s="44"/>
      <x:c r="B169" s="44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3"/>
    </x:row>
    <x:row r="170">
      <x:c r="A170" s="44"/>
      <x:c r="B170" s="44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3"/>
    </x:row>
    <x:row r="171">
      <x:c r="A171" s="44"/>
      <x:c r="B171" s="44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3"/>
    </x:row>
    <x:row r="172">
      <x:c r="A172" s="44"/>
      <x:c r="B172" s="44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3"/>
    </x:row>
    <x:row r="173">
      <x:c r="A173" s="44"/>
      <x:c r="B173" s="44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3"/>
    </x:row>
    <x:row r="174">
      <x:c r="A174" s="44"/>
      <x:c r="B174" s="44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3"/>
    </x:row>
    <x:row r="175">
      <x:c r="A175" s="44"/>
      <x:c r="B175" s="44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3"/>
    </x:row>
    <x:row r="176">
      <x:c r="A176" s="44"/>
      <x:c r="B176" s="44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3"/>
    </x:row>
    <x:row r="177">
      <x:c r="A177" s="44"/>
      <x:c r="B177" s="44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3"/>
    </x:row>
    <x:row r="178">
      <x:c r="A178" s="44"/>
      <x:c r="B178" s="44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3"/>
    </x:row>
    <x:row r="179">
      <x:c r="A179" s="44"/>
      <x:c r="B179" s="44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3"/>
    </x:row>
    <x:row r="180">
      <x:c r="A180" s="44"/>
      <x:c r="B180" s="44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3"/>
    </x:row>
    <x:row r="181">
      <x:c r="A181" s="44"/>
      <x:c r="B181" s="44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3"/>
    </x:row>
    <x:row r="182">
      <x:c r="A182" s="44"/>
      <x:c r="B182" s="44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3"/>
    </x:row>
    <x:row r="183">
      <x:c r="A183" s="44"/>
      <x:c r="B183" s="44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3"/>
    </x:row>
    <x:row r="184">
      <x:c r="A184" s="44"/>
      <x:c r="B184" s="44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3"/>
    </x:row>
    <x:row r="185">
      <x:c r="A185" s="44"/>
      <x:c r="B185" s="44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3"/>
    </x:row>
    <x:row r="186">
      <x:c r="A186" s="44"/>
      <x:c r="B186" s="44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3"/>
    </x:row>
    <x:row r="187">
      <x:c r="A187" s="44"/>
      <x:c r="B187" s="44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3"/>
    </x:row>
    <x:row r="188">
      <x:c r="A188" s="44"/>
      <x:c r="B188" s="44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3"/>
    </x:row>
    <x:row r="189">
      <x:c r="A189" s="44"/>
      <x:c r="B189" s="44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3"/>
    </x:row>
    <x:row r="190">
      <x:c r="A190" s="44"/>
      <x:c r="B190" s="44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3"/>
    </x:row>
    <x:row r="191">
      <x:c r="A191" s="44"/>
      <x:c r="B191" s="44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3"/>
    </x:row>
    <x:row r="192">
      <x:c r="A192" s="44"/>
      <x:c r="B192" s="44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3"/>
    </x:row>
    <x:row r="193">
      <x:c r="A193" s="44"/>
      <x:c r="B193" s="44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3"/>
    </x:row>
    <x:row r="194">
      <x:c r="A194" s="44"/>
      <x:c r="B194" s="44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3"/>
    </x:row>
    <x:row r="195">
      <x:c r="A195" s="44"/>
      <x:c r="B195" s="44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3"/>
    </x:row>
    <x:row r="196">
      <x:c r="A196" s="44"/>
      <x:c r="B196" s="44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3"/>
    </x:row>
    <x:row r="197">
      <x:c r="A197" s="44"/>
      <x:c r="B197" s="44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3"/>
    </x:row>
    <x:row r="198">
      <x:c r="A198" s="44"/>
      <x:c r="B198" s="44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3"/>
    </x:row>
    <x:row r="199">
      <x:c r="A199" s="44"/>
      <x:c r="B199" s="44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3"/>
    </x:row>
    <x:row r="200">
      <x:c r="A200" s="44"/>
      <x:c r="B200" s="44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3"/>
    </x:row>
    <x:row r="201">
      <x:c r="A201" s="44"/>
      <x:c r="B201" s="44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3"/>
    </x:row>
    <x:row r="202">
      <x:c r="A202" s="44"/>
      <x:c r="B202" s="44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3"/>
    </x:row>
    <x:row r="203">
      <x:c r="A203" s="44"/>
      <x:c r="B203" s="44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3"/>
    </x:row>
    <x:row r="204">
      <x:c r="A204" s="44"/>
      <x:c r="B204" s="44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3"/>
    </x:row>
    <x:row r="205">
      <x:c r="A205" s="44"/>
      <x:c r="B205" s="44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3"/>
    </x:row>
    <x:row r="206">
      <x:c r="A206" s="44"/>
      <x:c r="B206" s="44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3"/>
    </x:row>
    <x:row r="207">
      <x:c r="A207" s="44"/>
      <x:c r="B207" s="44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3"/>
    </x:row>
    <x:row r="208">
      <x:c r="A208" s="44"/>
      <x:c r="B208" s="44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3"/>
    </x:row>
    <x:row r="209">
      <x:c r="A209" s="44"/>
      <x:c r="B209" s="44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3"/>
    </x:row>
    <x:row r="210">
      <x:c r="A210" s="44"/>
      <x:c r="B210" s="44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3"/>
    </x:row>
    <x:row r="211">
      <x:c r="A211" s="44"/>
      <x:c r="B211" s="44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3"/>
    </x:row>
    <x:row r="212">
      <x:c r="A212" s="44"/>
      <x:c r="B212" s="44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3"/>
    </x:row>
    <x:row r="213">
      <x:c r="A213" s="44"/>
      <x:c r="B213" s="44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3"/>
    </x:row>
    <x:row r="214">
      <x:c r="A214" s="44"/>
      <x:c r="B214" s="44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3"/>
    </x:row>
    <x:row r="215">
      <x:c r="A215" s="44"/>
      <x:c r="B215" s="44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3"/>
    </x:row>
    <x:row r="216">
      <x:c r="A216" s="44"/>
      <x:c r="B216" s="44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3"/>
    </x:row>
    <x:row r="217">
      <x:c r="A217" s="44"/>
      <x:c r="B217" s="44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3"/>
    </x:row>
    <x:row r="218">
      <x:c r="A218" s="44"/>
      <x:c r="B218" s="44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3"/>
    </x:row>
    <x:row r="219">
      <x:c r="A219" s="44"/>
      <x:c r="B219" s="44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3"/>
    </x:row>
    <x:row r="220">
      <x:c r="A220" s="44"/>
      <x:c r="B220" s="44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3"/>
    </x:row>
    <x:row r="221">
      <x:c r="A221" s="44"/>
      <x:c r="B221" s="44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3"/>
    </x:row>
    <x:row r="222">
      <x:c r="A222" s="44"/>
      <x:c r="B222" s="44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3"/>
    </x:row>
    <x:row r="223">
      <x:c r="A223" s="44"/>
      <x:c r="B223" s="44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3"/>
    </x:row>
    <x:row r="224">
      <x:c r="A224" s="44"/>
      <x:c r="B224" s="44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3"/>
    </x:row>
    <x:row r="225">
      <x:c r="A225" s="44"/>
      <x:c r="B225" s="44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3"/>
    </x:row>
    <x:row r="226">
      <x:c r="A226" s="44"/>
      <x:c r="B226" s="44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3"/>
    </x:row>
    <x:row r="227">
      <x:c r="A227" s="44"/>
      <x:c r="B227" s="44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3"/>
    </x:row>
    <x:row r="228">
      <x:c r="A228" s="44"/>
      <x:c r="B228" s="44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3"/>
    </x:row>
    <x:row r="229">
      <x:c r="A229" s="44"/>
      <x:c r="B229" s="44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3"/>
    </x:row>
    <x:row r="230">
      <x:c r="A230" s="44"/>
      <x:c r="B230" s="44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3"/>
    </x:row>
    <x:row r="231">
      <x:c r="A231" s="44"/>
      <x:c r="B231" s="44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3"/>
    </x:row>
    <x:row r="232">
      <x:c r="A232" s="44"/>
      <x:c r="B232" s="44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3"/>
    </x:row>
    <x:row r="233">
      <x:c r="A233" s="44"/>
      <x:c r="B233" s="44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3"/>
    </x:row>
    <x:row r="234">
      <x:c r="A234" s="44"/>
      <x:c r="B234" s="44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3"/>
    </x:row>
    <x:row r="235">
      <x:c r="A235" s="44"/>
      <x:c r="B235" s="44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3"/>
    </x:row>
    <x:row r="236">
      <x:c r="A236" s="44"/>
      <x:c r="B236" s="44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3"/>
    </x:row>
    <x:row r="237">
      <x:c r="A237" s="44"/>
      <x:c r="B237" s="44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3"/>
    </x:row>
    <x:row r="238">
      <x:c r="A238" s="44"/>
      <x:c r="B238" s="44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3"/>
    </x:row>
    <x:row r="239">
      <x:c r="A239" s="44"/>
      <x:c r="B239" s="44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3"/>
    </x:row>
    <x:row r="240">
      <x:c r="A240" s="44"/>
      <x:c r="B240" s="44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3"/>
    </x:row>
    <x:row r="241">
      <x:c r="A241" s="44"/>
      <x:c r="B241" s="44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3"/>
    </x:row>
    <x:row r="242">
      <x:c r="A242" s="44"/>
      <x:c r="B242" s="44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3"/>
    </x:row>
    <x:row r="243">
      <x:c r="A243" s="44"/>
      <x:c r="B243" s="44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3"/>
    </x:row>
    <x:row r="244">
      <x:c r="A244" s="44"/>
      <x:c r="B244" s="44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3"/>
    </x:row>
    <x:row r="245">
      <x:c r="A245" s="44"/>
      <x:c r="B245" s="44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3"/>
    </x:row>
    <x:row r="246">
      <x:c r="A246" s="44"/>
      <x:c r="B246" s="44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3"/>
    </x:row>
    <x:row r="247">
      <x:c r="A247" s="44"/>
      <x:c r="B247" s="44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3"/>
    </x:row>
    <x:row r="248">
      <x:c r="A248" s="44"/>
      <x:c r="B248" s="44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3"/>
    </x:row>
    <x:row r="249">
      <x:c r="A249" s="44"/>
      <x:c r="B249" s="44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3"/>
    </x:row>
    <x:row r="250">
      <x:c r="A250" s="44"/>
      <x:c r="B250" s="44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3"/>
    </x:row>
    <x:row r="251">
      <x:c r="A251" s="44"/>
      <x:c r="B251" s="44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3"/>
    </x:row>
    <x:row r="252">
      <x:c r="A252" s="44"/>
      <x:c r="B252" s="44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3"/>
    </x:row>
    <x:row r="253">
      <x:c r="A253" s="44"/>
      <x:c r="B253" s="44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3"/>
    </x:row>
    <x:row r="254">
      <x:c r="A254" s="44"/>
      <x:c r="B254" s="44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3"/>
    </x:row>
    <x:row r="255">
      <x:c r="A255" s="44"/>
      <x:c r="B255" s="44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3"/>
    </x:row>
    <x:row r="256">
      <x:c r="A256" s="44"/>
      <x:c r="B256" s="44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3"/>
    </x:row>
    <x:row r="257">
      <x:c r="A257" s="44"/>
      <x:c r="B257" s="44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3"/>
    </x:row>
    <x:row r="258">
      <x:c r="A258" s="44"/>
      <x:c r="B258" s="44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3"/>
    </x:row>
    <x:row r="259">
      <x:c r="A259" s="44"/>
      <x:c r="B259" s="44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3"/>
    </x:row>
    <x:row r="260">
      <x:c r="A260" s="44"/>
      <x:c r="B260" s="44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3"/>
    </x:row>
    <x:row r="261">
      <x:c r="A261" s="44"/>
      <x:c r="B261" s="44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3"/>
    </x:row>
    <x:row r="262">
      <x:c r="A262" s="44"/>
      <x:c r="B262" s="44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3"/>
    </x:row>
    <x:row r="263">
      <x:c r="A263" s="44"/>
      <x:c r="B263" s="44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3"/>
    </x:row>
    <x:row r="264">
      <x:c r="A264" s="44"/>
      <x:c r="B264" s="44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3"/>
    </x:row>
    <x:row r="265">
      <x:c r="A265" s="44"/>
      <x:c r="B265" s="44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3"/>
    </x:row>
    <x:row r="266">
      <x:c r="A266" s="44"/>
      <x:c r="B266" s="44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3"/>
    </x:row>
    <x:row r="267">
      <x:c r="A267" s="44"/>
      <x:c r="B267" s="44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3"/>
    </x:row>
    <x:row r="268">
      <x:c r="A268" s="44"/>
      <x:c r="B268" s="44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3"/>
    </x:row>
    <x:row r="269">
      <x:c r="A269" s="44"/>
      <x:c r="B269" s="44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3"/>
    </x:row>
    <x:row r="270">
      <x:c r="A270" s="44"/>
      <x:c r="B270" s="44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3"/>
    </x:row>
    <x:row r="271">
      <x:c r="A271" s="44"/>
      <x:c r="B271" s="44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3"/>
    </x:row>
    <x:row r="272">
      <x:c r="A272" s="44"/>
      <x:c r="B272" s="44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3"/>
    </x:row>
    <x:row r="273">
      <x:c r="A273" s="44"/>
      <x:c r="B273" s="44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3"/>
    </x:row>
    <x:row r="274">
      <x:c r="A274" s="44"/>
      <x:c r="B274" s="44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3"/>
    </x:row>
    <x:row r="275">
      <x:c r="A275" s="44"/>
      <x:c r="B275" s="44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3"/>
    </x:row>
    <x:row r="276">
      <x:c r="A276" s="44"/>
      <x:c r="B276" s="44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3"/>
    </x:row>
    <x:row r="277">
      <x:c r="A277" s="44"/>
      <x:c r="B277" s="44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3"/>
    </x:row>
    <x:row r="278">
      <x:c r="A278" s="44"/>
      <x:c r="B278" s="44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3"/>
    </x:row>
    <x:row r="279">
      <x:c r="A279" s="44"/>
      <x:c r="B279" s="44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3"/>
    </x:row>
    <x:row r="280">
      <x:c r="A280" s="44"/>
      <x:c r="B280" s="44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3"/>
    </x:row>
    <x:row r="281">
      <x:c r="A281" s="44"/>
      <x:c r="B281" s="44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3"/>
    </x:row>
    <x:row r="282">
      <x:c r="A282" s="44"/>
      <x:c r="B282" s="44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3"/>
    </x:row>
    <x:row r="283">
      <x:c r="A283" s="44"/>
      <x:c r="B283" s="44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3"/>
    </x:row>
    <x:row r="284">
      <x:c r="A284" s="44"/>
      <x:c r="B284" s="44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3"/>
    </x:row>
    <x:row r="285">
      <x:c r="A285" s="44"/>
      <x:c r="B285" s="44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3"/>
    </x:row>
    <x:row r="286">
      <x:c r="A286" s="44"/>
      <x:c r="B286" s="44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3"/>
    </x:row>
    <x:row r="287">
      <x:c r="A287" s="44"/>
      <x:c r="B287" s="44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3"/>
    </x:row>
    <x:row r="288">
      <x:c r="A288" s="44"/>
      <x:c r="B288" s="44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3"/>
    </x:row>
    <x:row r="289">
      <x:c r="A289" s="44"/>
      <x:c r="B289" s="44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3"/>
    </x:row>
    <x:row r="290">
      <x:c r="A290" s="44"/>
      <x:c r="B290" s="44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3"/>
    </x:row>
    <x:row r="291">
      <x:c r="A291" s="44"/>
      <x:c r="B291" s="44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3"/>
    </x:row>
    <x:row r="292">
      <x:c r="A292" s="44"/>
      <x:c r="B292" s="44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3"/>
    </x:row>
    <x:row r="293">
      <x:c r="A293" s="44"/>
      <x:c r="B293" s="44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3"/>
    </x:row>
    <x:row r="294">
      <x:c r="A294" s="44"/>
      <x:c r="B294" s="44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3"/>
    </x:row>
    <x:row r="295">
      <x:c r="A295" s="44"/>
      <x:c r="B295" s="44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3"/>
    </x:row>
    <x:row r="296">
      <x:c r="A296" s="44"/>
      <x:c r="B296" s="44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3"/>
    </x:row>
    <x:row r="297">
      <x:c r="A297" s="44"/>
      <x:c r="B297" s="44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3"/>
    </x:row>
    <x:row r="298">
      <x:c r="A298" s="44"/>
      <x:c r="B298" s="44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3"/>
    </x:row>
    <x:row r="299">
      <x:c r="A299" s="44"/>
      <x:c r="B299" s="44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3"/>
    </x:row>
    <x:row r="300">
      <x:c r="A300" s="44"/>
      <x:c r="B300" s="44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3"/>
    </x:row>
    <x:row r="301">
      <x:c r="A301" s="44"/>
      <x:c r="B301" s="44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3"/>
    </x:row>
  </x:sheetData>
  <x:dataValidations count="2">
    <x:dataValidation type="list" sqref="J2:J301">
      <x:formula1>"supports,contradicts,mixed,neutral,not_applicable"</x:formula1>
    </x:dataValidation>
    <x:dataValidation type="list" sqref="K2:K301">
      <x:formula1>"reported numeric,reported qualitative,reviewer-derived,not_reported"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b42b6e17d347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42" hidden="0" customWidth="1"/>
    <x:col min="13" max="13" width="17" hidden="0" customWidth="1"/>
    <x:col min="14" max="14" width="17" hidden="0" customWidth="1"/>
  </x:cols>
  <x:sheetData>
    <x:row r="1" ht="42" customHeight="1">
      <x:c r="A1" s="13" t="str">
        <x:v>Study ID</x:v>
      </x:c>
      <x:c r="B1" s="38" t="str">
        <x:v>Objective Clear</x:v>
      </x:c>
      <x:c r="C1" s="38" t="str">
        <x:v>Method Reproducible</x:v>
      </x:c>
      <x:c r="D1" s="38" t="str">
        <x:v>Dataset / Scenario Described</x:v>
      </x:c>
      <x:c r="E1" s="38" t="str">
        <x:v>Comparator Appropriate</x:v>
      </x:c>
      <x:c r="F1" s="38" t="str">
        <x:v>Metrics Appropriate</x:v>
      </x:c>
      <x:c r="G1" s="38" t="str">
        <x:v>Uncertainty Reported</x:v>
      </x:c>
      <x:c r="H1" s="38" t="str">
        <x:v>Limitations Reported</x:v>
      </x:c>
      <x:c r="I1" s="38" t="str">
        <x:v>Validation Realism</x:v>
      </x:c>
      <x:c r="J1" s="38" t="str">
        <x:v>Direct Relevance</x:v>
      </x:c>
      <x:c r="K1" s="38" t="str">
        <x:v>Quality Score</x:v>
      </x:c>
      <x:c r="L1" s="38" t="str">
        <x:v>Appraisal Notes</x:v>
      </x:c>
      <x:c r="M1" s="38" t="str">
        <x:v>Reviewer</x:v>
      </x:c>
      <x:c r="N1" s="14" t="str">
        <x:v>Appraisal Date</x:v>
      </x:c>
    </x:row>
    <x:row r="2">
      <x:c r="A2" s="44"/>
      <x:c r="B2" s="41"/>
      <x:c r="C2" s="41"/>
      <x:c r="D2" s="41"/>
      <x:c r="E2" s="41"/>
      <x:c r="F2" s="41"/>
      <x:c r="G2" s="41"/>
      <x:c r="H2" s="41"/>
      <x:c r="I2" s="41"/>
      <x:c r="J2" s="41"/>
      <x:c r="K2" s="45" t="str">
        <x:f>IF(COUNTA(B2:J2)=0,"",IF(9-COUNTIF(B2:J2,"not_applicable")=0,"",COUNTIF(B2:J2,"yes")/(9-COUNTIF(B2:J2,"not_applicable"))))</x:f>
      </x:c>
      <x:c r="L2" s="41"/>
      <x:c r="M2" s="41"/>
      <x:c r="N2" s="43"/>
    </x:row>
    <x:row r="3">
      <x:c r="A3" s="44"/>
      <x:c r="B3" s="41"/>
      <x:c r="C3" s="41"/>
      <x:c r="D3" s="41"/>
      <x:c r="E3" s="41"/>
      <x:c r="F3" s="41"/>
      <x:c r="G3" s="41"/>
      <x:c r="H3" s="41"/>
      <x:c r="I3" s="41"/>
      <x:c r="J3" s="41"/>
      <x:c r="K3" s="45" t="str">
        <x:f>IF(COUNTA(B3:J3)=0,"",IF(9-COUNTIF(B3:J3,"not_applicable")=0,"",COUNTIF(B3:J3,"yes")/(9-COUNTIF(B3:J3,"not_applicable"))))</x:f>
      </x:c>
      <x:c r="L3" s="41"/>
      <x:c r="M3" s="41"/>
      <x:c r="N3" s="43"/>
    </x:row>
    <x:row r="4">
      <x:c r="A4" s="44"/>
      <x:c r="B4" s="41"/>
      <x:c r="C4" s="41"/>
      <x:c r="D4" s="41"/>
      <x:c r="E4" s="41"/>
      <x:c r="F4" s="41"/>
      <x:c r="G4" s="41"/>
      <x:c r="H4" s="41"/>
      <x:c r="I4" s="41"/>
      <x:c r="J4" s="41"/>
      <x:c r="K4" s="45" t="str">
        <x:f>IF(COUNTA(B4:J4)=0,"",IF(9-COUNTIF(B4:J4,"not_applicable")=0,"",COUNTIF(B4:J4,"yes")/(9-COUNTIF(B4:J4,"not_applicable"))))</x:f>
      </x:c>
      <x:c r="L4" s="41"/>
      <x:c r="M4" s="41"/>
      <x:c r="N4" s="43"/>
    </x:row>
    <x:row r="5">
      <x:c r="A5" s="44"/>
      <x:c r="B5" s="41"/>
      <x:c r="C5" s="41"/>
      <x:c r="D5" s="41"/>
      <x:c r="E5" s="41"/>
      <x:c r="F5" s="41"/>
      <x:c r="G5" s="41"/>
      <x:c r="H5" s="41"/>
      <x:c r="I5" s="41"/>
      <x:c r="J5" s="41"/>
      <x:c r="K5" s="45" t="str">
        <x:f>IF(COUNTA(B5:J5)=0,"",IF(9-COUNTIF(B5:J5,"not_applicable")=0,"",COUNTIF(B5:J5,"yes")/(9-COUNTIF(B5:J5,"not_applicable"))))</x:f>
      </x:c>
      <x:c r="L5" s="41"/>
      <x:c r="M5" s="41"/>
      <x:c r="N5" s="43"/>
    </x:row>
    <x:row r="6">
      <x:c r="A6" s="44"/>
      <x:c r="B6" s="41"/>
      <x:c r="C6" s="41"/>
      <x:c r="D6" s="41"/>
      <x:c r="E6" s="41"/>
      <x:c r="F6" s="41"/>
      <x:c r="G6" s="41"/>
      <x:c r="H6" s="41"/>
      <x:c r="I6" s="41"/>
      <x:c r="J6" s="41"/>
      <x:c r="K6" s="45" t="str">
        <x:f>IF(COUNTA(B6:J6)=0,"",IF(9-COUNTIF(B6:J6,"not_applicable")=0,"",COUNTIF(B6:J6,"yes")/(9-COUNTIF(B6:J6,"not_applicable"))))</x:f>
      </x:c>
      <x:c r="L6" s="41"/>
      <x:c r="M6" s="41"/>
      <x:c r="N6" s="43"/>
    </x:row>
    <x:row r="7">
      <x:c r="A7" s="44"/>
      <x:c r="B7" s="41"/>
      <x:c r="C7" s="41"/>
      <x:c r="D7" s="41"/>
      <x:c r="E7" s="41"/>
      <x:c r="F7" s="41"/>
      <x:c r="G7" s="41"/>
      <x:c r="H7" s="41"/>
      <x:c r="I7" s="41"/>
      <x:c r="J7" s="41"/>
      <x:c r="K7" s="45" t="str">
        <x:f>IF(COUNTA(B7:J7)=0,"",IF(9-COUNTIF(B7:J7,"not_applicable")=0,"",COUNTIF(B7:J7,"yes")/(9-COUNTIF(B7:J7,"not_applicable"))))</x:f>
      </x:c>
      <x:c r="L7" s="41"/>
      <x:c r="M7" s="41"/>
      <x:c r="N7" s="43"/>
    </x:row>
    <x:row r="8">
      <x:c r="A8" s="44"/>
      <x:c r="B8" s="41"/>
      <x:c r="C8" s="41"/>
      <x:c r="D8" s="41"/>
      <x:c r="E8" s="41"/>
      <x:c r="F8" s="41"/>
      <x:c r="G8" s="41"/>
      <x:c r="H8" s="41"/>
      <x:c r="I8" s="41"/>
      <x:c r="J8" s="41"/>
      <x:c r="K8" s="45" t="str">
        <x:f>IF(COUNTA(B8:J8)=0,"",IF(9-COUNTIF(B8:J8,"not_applicable")=0,"",COUNTIF(B8:J8,"yes")/(9-COUNTIF(B8:J8,"not_applicable"))))</x:f>
      </x:c>
      <x:c r="L8" s="41"/>
      <x:c r="M8" s="41"/>
      <x:c r="N8" s="43"/>
    </x:row>
    <x:row r="9">
      <x:c r="A9" s="44"/>
      <x:c r="B9" s="41"/>
      <x:c r="C9" s="41"/>
      <x:c r="D9" s="41"/>
      <x:c r="E9" s="41"/>
      <x:c r="F9" s="41"/>
      <x:c r="G9" s="41"/>
      <x:c r="H9" s="41"/>
      <x:c r="I9" s="41"/>
      <x:c r="J9" s="41"/>
      <x:c r="K9" s="45" t="str">
        <x:f>IF(COUNTA(B9:J9)=0,"",IF(9-COUNTIF(B9:J9,"not_applicable")=0,"",COUNTIF(B9:J9,"yes")/(9-COUNTIF(B9:J9,"not_applicable"))))</x:f>
      </x:c>
      <x:c r="L9" s="41"/>
      <x:c r="M9" s="41"/>
      <x:c r="N9" s="43"/>
    </x:row>
    <x:row r="10">
      <x:c r="A10" s="44"/>
      <x:c r="B10" s="41"/>
      <x:c r="C10" s="41"/>
      <x:c r="D10" s="41"/>
      <x:c r="E10" s="41"/>
      <x:c r="F10" s="41"/>
      <x:c r="G10" s="41"/>
      <x:c r="H10" s="41"/>
      <x:c r="I10" s="41"/>
      <x:c r="J10" s="41"/>
      <x:c r="K10" s="45" t="str">
        <x:f>IF(COUNTA(B10:J10)=0,"",IF(9-COUNTIF(B10:J10,"not_applicable")=0,"",COUNTIF(B10:J10,"yes")/(9-COUNTIF(B10:J10,"not_applicable"))))</x:f>
      </x:c>
      <x:c r="L10" s="41"/>
      <x:c r="M10" s="41"/>
      <x:c r="N10" s="43"/>
    </x:row>
    <x:row r="11">
      <x:c r="A11" s="44"/>
      <x:c r="B11" s="41"/>
      <x:c r="C11" s="41"/>
      <x:c r="D11" s="41"/>
      <x:c r="E11" s="41"/>
      <x:c r="F11" s="41"/>
      <x:c r="G11" s="41"/>
      <x:c r="H11" s="41"/>
      <x:c r="I11" s="41"/>
      <x:c r="J11" s="41"/>
      <x:c r="K11" s="45" t="str">
        <x:f>IF(COUNTA(B11:J11)=0,"",IF(9-COUNTIF(B11:J11,"not_applicable")=0,"",COUNTIF(B11:J11,"yes")/(9-COUNTIF(B11:J11,"not_applicable"))))</x:f>
      </x:c>
      <x:c r="L11" s="41"/>
      <x:c r="M11" s="41"/>
      <x:c r="N11" s="43"/>
    </x:row>
    <x:row r="12">
      <x:c r="A12" s="44"/>
      <x:c r="B12" s="41"/>
      <x:c r="C12" s="41"/>
      <x:c r="D12" s="41"/>
      <x:c r="E12" s="41"/>
      <x:c r="F12" s="41"/>
      <x:c r="G12" s="41"/>
      <x:c r="H12" s="41"/>
      <x:c r="I12" s="41"/>
      <x:c r="J12" s="41"/>
      <x:c r="K12" s="45" t="str">
        <x:f>IF(COUNTA(B12:J12)=0,"",IF(9-COUNTIF(B12:J12,"not_applicable")=0,"",COUNTIF(B12:J12,"yes")/(9-COUNTIF(B12:J12,"not_applicable"))))</x:f>
      </x:c>
      <x:c r="L12" s="41"/>
      <x:c r="M12" s="41"/>
      <x:c r="N12" s="43"/>
    </x:row>
    <x:row r="13">
      <x:c r="A13" s="44"/>
      <x:c r="B13" s="41"/>
      <x:c r="C13" s="41"/>
      <x:c r="D13" s="41"/>
      <x:c r="E13" s="41"/>
      <x:c r="F13" s="41"/>
      <x:c r="G13" s="41"/>
      <x:c r="H13" s="41"/>
      <x:c r="I13" s="41"/>
      <x:c r="J13" s="41"/>
      <x:c r="K13" s="45" t="str">
        <x:f>IF(COUNTA(B13:J13)=0,"",IF(9-COUNTIF(B13:J13,"not_applicable")=0,"",COUNTIF(B13:J13,"yes")/(9-COUNTIF(B13:J13,"not_applicable"))))</x:f>
      </x:c>
      <x:c r="L13" s="41"/>
      <x:c r="M13" s="41"/>
      <x:c r="N13" s="43"/>
    </x:row>
    <x:row r="14">
      <x:c r="A14" s="44"/>
      <x:c r="B14" s="41"/>
      <x:c r="C14" s="41"/>
      <x:c r="D14" s="41"/>
      <x:c r="E14" s="41"/>
      <x:c r="F14" s="41"/>
      <x:c r="G14" s="41"/>
      <x:c r="H14" s="41"/>
      <x:c r="I14" s="41"/>
      <x:c r="J14" s="41"/>
      <x:c r="K14" s="45" t="str">
        <x:f>IF(COUNTA(B14:J14)=0,"",IF(9-COUNTIF(B14:J14,"not_applicable")=0,"",COUNTIF(B14:J14,"yes")/(9-COUNTIF(B14:J14,"not_applicable"))))</x:f>
      </x:c>
      <x:c r="L14" s="41"/>
      <x:c r="M14" s="41"/>
      <x:c r="N14" s="43"/>
    </x:row>
    <x:row r="15">
      <x:c r="A15" s="44"/>
      <x:c r="B15" s="41"/>
      <x:c r="C15" s="41"/>
      <x:c r="D15" s="41"/>
      <x:c r="E15" s="41"/>
      <x:c r="F15" s="41"/>
      <x:c r="G15" s="41"/>
      <x:c r="H15" s="41"/>
      <x:c r="I15" s="41"/>
      <x:c r="J15" s="41"/>
      <x:c r="K15" s="45" t="str">
        <x:f>IF(COUNTA(B15:J15)=0,"",IF(9-COUNTIF(B15:J15,"not_applicable")=0,"",COUNTIF(B15:J15,"yes")/(9-COUNTIF(B15:J15,"not_applicable"))))</x:f>
      </x:c>
      <x:c r="L15" s="41"/>
      <x:c r="M15" s="41"/>
      <x:c r="N15" s="43"/>
    </x:row>
    <x:row r="16">
      <x:c r="A16" s="44"/>
      <x:c r="B16" s="41"/>
      <x:c r="C16" s="41"/>
      <x:c r="D16" s="41"/>
      <x:c r="E16" s="41"/>
      <x:c r="F16" s="41"/>
      <x:c r="G16" s="41"/>
      <x:c r="H16" s="41"/>
      <x:c r="I16" s="41"/>
      <x:c r="J16" s="41"/>
      <x:c r="K16" s="45" t="str">
        <x:f>IF(COUNTA(B16:J16)=0,"",IF(9-COUNTIF(B16:J16,"not_applicable")=0,"",COUNTIF(B16:J16,"yes")/(9-COUNTIF(B16:J16,"not_applicable"))))</x:f>
      </x:c>
      <x:c r="L16" s="41"/>
      <x:c r="M16" s="41"/>
      <x:c r="N16" s="43"/>
    </x:row>
    <x:row r="17">
      <x:c r="A17" s="44"/>
      <x:c r="B17" s="41"/>
      <x:c r="C17" s="41"/>
      <x:c r="D17" s="41"/>
      <x:c r="E17" s="41"/>
      <x:c r="F17" s="41"/>
      <x:c r="G17" s="41"/>
      <x:c r="H17" s="41"/>
      <x:c r="I17" s="41"/>
      <x:c r="J17" s="41"/>
      <x:c r="K17" s="45" t="str">
        <x:f>IF(COUNTA(B17:J17)=0,"",IF(9-COUNTIF(B17:J17,"not_applicable")=0,"",COUNTIF(B17:J17,"yes")/(9-COUNTIF(B17:J17,"not_applicable"))))</x:f>
      </x:c>
      <x:c r="L17" s="41"/>
      <x:c r="M17" s="41"/>
      <x:c r="N17" s="43"/>
    </x:row>
    <x:row r="18">
      <x:c r="A18" s="44"/>
      <x:c r="B18" s="41"/>
      <x:c r="C18" s="41"/>
      <x:c r="D18" s="41"/>
      <x:c r="E18" s="41"/>
      <x:c r="F18" s="41"/>
      <x:c r="G18" s="41"/>
      <x:c r="H18" s="41"/>
      <x:c r="I18" s="41"/>
      <x:c r="J18" s="41"/>
      <x:c r="K18" s="45" t="str">
        <x:f>IF(COUNTA(B18:J18)=0,"",IF(9-COUNTIF(B18:J18,"not_applicable")=0,"",COUNTIF(B18:J18,"yes")/(9-COUNTIF(B18:J18,"not_applicable"))))</x:f>
      </x:c>
      <x:c r="L18" s="41"/>
      <x:c r="M18" s="41"/>
      <x:c r="N18" s="43"/>
    </x:row>
    <x:row r="19">
      <x:c r="A19" s="44"/>
      <x:c r="B19" s="41"/>
      <x:c r="C19" s="41"/>
      <x:c r="D19" s="41"/>
      <x:c r="E19" s="41"/>
      <x:c r="F19" s="41"/>
      <x:c r="G19" s="41"/>
      <x:c r="H19" s="41"/>
      <x:c r="I19" s="41"/>
      <x:c r="J19" s="41"/>
      <x:c r="K19" s="45" t="str">
        <x:f>IF(COUNTA(B19:J19)=0,"",IF(9-COUNTIF(B19:J19,"not_applicable")=0,"",COUNTIF(B19:J19,"yes")/(9-COUNTIF(B19:J19,"not_applicable"))))</x:f>
      </x:c>
      <x:c r="L19" s="41"/>
      <x:c r="M19" s="41"/>
      <x:c r="N19" s="43"/>
    </x:row>
    <x:row r="20">
      <x:c r="A20" s="44"/>
      <x:c r="B20" s="41"/>
      <x:c r="C20" s="41"/>
      <x:c r="D20" s="41"/>
      <x:c r="E20" s="41"/>
      <x:c r="F20" s="41"/>
      <x:c r="G20" s="41"/>
      <x:c r="H20" s="41"/>
      <x:c r="I20" s="41"/>
      <x:c r="J20" s="41"/>
      <x:c r="K20" s="45" t="str">
        <x:f>IF(COUNTA(B20:J20)=0,"",IF(9-COUNTIF(B20:J20,"not_applicable")=0,"",COUNTIF(B20:J20,"yes")/(9-COUNTIF(B20:J20,"not_applicable"))))</x:f>
      </x:c>
      <x:c r="L20" s="41"/>
      <x:c r="M20" s="41"/>
      <x:c r="N20" s="43"/>
    </x:row>
    <x:row r="21">
      <x:c r="A21" s="44"/>
      <x:c r="B21" s="41"/>
      <x:c r="C21" s="41"/>
      <x:c r="D21" s="41"/>
      <x:c r="E21" s="41"/>
      <x:c r="F21" s="41"/>
      <x:c r="G21" s="41"/>
      <x:c r="H21" s="41"/>
      <x:c r="I21" s="41"/>
      <x:c r="J21" s="41"/>
      <x:c r="K21" s="45" t="str">
        <x:f>IF(COUNTA(B21:J21)=0,"",IF(9-COUNTIF(B21:J21,"not_applicable")=0,"",COUNTIF(B21:J21,"yes")/(9-COUNTIF(B21:J21,"not_applicable"))))</x:f>
      </x:c>
      <x:c r="L21" s="41"/>
      <x:c r="M21" s="41"/>
      <x:c r="N21" s="43"/>
    </x:row>
    <x:row r="22">
      <x:c r="A22" s="44"/>
      <x:c r="B22" s="41"/>
      <x:c r="C22" s="41"/>
      <x:c r="D22" s="41"/>
      <x:c r="E22" s="41"/>
      <x:c r="F22" s="41"/>
      <x:c r="G22" s="41"/>
      <x:c r="H22" s="41"/>
      <x:c r="I22" s="41"/>
      <x:c r="J22" s="41"/>
      <x:c r="K22" s="45" t="str">
        <x:f>IF(COUNTA(B22:J22)=0,"",IF(9-COUNTIF(B22:J22,"not_applicable")=0,"",COUNTIF(B22:J22,"yes")/(9-COUNTIF(B22:J22,"not_applicable"))))</x:f>
      </x:c>
      <x:c r="L22" s="41"/>
      <x:c r="M22" s="41"/>
      <x:c r="N22" s="43"/>
    </x:row>
    <x:row r="23">
      <x:c r="A23" s="44"/>
      <x:c r="B23" s="41"/>
      <x:c r="C23" s="41"/>
      <x:c r="D23" s="41"/>
      <x:c r="E23" s="41"/>
      <x:c r="F23" s="41"/>
      <x:c r="G23" s="41"/>
      <x:c r="H23" s="41"/>
      <x:c r="I23" s="41"/>
      <x:c r="J23" s="41"/>
      <x:c r="K23" s="45" t="str">
        <x:f>IF(COUNTA(B23:J23)=0,"",IF(9-COUNTIF(B23:J23,"not_applicable")=0,"",COUNTIF(B23:J23,"yes")/(9-COUNTIF(B23:J23,"not_applicable"))))</x:f>
      </x:c>
      <x:c r="L23" s="41"/>
      <x:c r="M23" s="41"/>
      <x:c r="N23" s="43"/>
    </x:row>
    <x:row r="24">
      <x:c r="A24" s="44"/>
      <x:c r="B24" s="41"/>
      <x:c r="C24" s="41"/>
      <x:c r="D24" s="41"/>
      <x:c r="E24" s="41"/>
      <x:c r="F24" s="41"/>
      <x:c r="G24" s="41"/>
      <x:c r="H24" s="41"/>
      <x:c r="I24" s="41"/>
      <x:c r="J24" s="41"/>
      <x:c r="K24" s="45" t="str">
        <x:f>IF(COUNTA(B24:J24)=0,"",IF(9-COUNTIF(B24:J24,"not_applicable")=0,"",COUNTIF(B24:J24,"yes")/(9-COUNTIF(B24:J24,"not_applicable"))))</x:f>
      </x:c>
      <x:c r="L24" s="41"/>
      <x:c r="M24" s="41"/>
      <x:c r="N24" s="43"/>
    </x:row>
    <x:row r="25">
      <x:c r="A25" s="44"/>
      <x:c r="B25" s="41"/>
      <x:c r="C25" s="41"/>
      <x:c r="D25" s="41"/>
      <x:c r="E25" s="41"/>
      <x:c r="F25" s="41"/>
      <x:c r="G25" s="41"/>
      <x:c r="H25" s="41"/>
      <x:c r="I25" s="41"/>
      <x:c r="J25" s="41"/>
      <x:c r="K25" s="45" t="str">
        <x:f>IF(COUNTA(B25:J25)=0,"",IF(9-COUNTIF(B25:J25,"not_applicable")=0,"",COUNTIF(B25:J25,"yes")/(9-COUNTIF(B25:J25,"not_applicable"))))</x:f>
      </x:c>
      <x:c r="L25" s="41"/>
      <x:c r="M25" s="41"/>
      <x:c r="N25" s="43"/>
    </x:row>
    <x:row r="26">
      <x:c r="A26" s="44"/>
      <x:c r="B26" s="41"/>
      <x:c r="C26" s="41"/>
      <x:c r="D26" s="41"/>
      <x:c r="E26" s="41"/>
      <x:c r="F26" s="41"/>
      <x:c r="G26" s="41"/>
      <x:c r="H26" s="41"/>
      <x:c r="I26" s="41"/>
      <x:c r="J26" s="41"/>
      <x:c r="K26" s="45" t="str">
        <x:f>IF(COUNTA(B26:J26)=0,"",IF(9-COUNTIF(B26:J26,"not_applicable")=0,"",COUNTIF(B26:J26,"yes")/(9-COUNTIF(B26:J26,"not_applicable"))))</x:f>
      </x:c>
      <x:c r="L26" s="41"/>
      <x:c r="M26" s="41"/>
      <x:c r="N26" s="43"/>
    </x:row>
    <x:row r="27">
      <x:c r="A27" s="44"/>
      <x:c r="B27" s="41"/>
      <x:c r="C27" s="41"/>
      <x:c r="D27" s="41"/>
      <x:c r="E27" s="41"/>
      <x:c r="F27" s="41"/>
      <x:c r="G27" s="41"/>
      <x:c r="H27" s="41"/>
      <x:c r="I27" s="41"/>
      <x:c r="J27" s="41"/>
      <x:c r="K27" s="45" t="str">
        <x:f>IF(COUNTA(B27:J27)=0,"",IF(9-COUNTIF(B27:J27,"not_applicable")=0,"",COUNTIF(B27:J27,"yes")/(9-COUNTIF(B27:J27,"not_applicable"))))</x:f>
      </x:c>
      <x:c r="L27" s="41"/>
      <x:c r="M27" s="41"/>
      <x:c r="N27" s="43"/>
    </x:row>
    <x:row r="28">
      <x:c r="A28" s="44"/>
      <x:c r="B28" s="41"/>
      <x:c r="C28" s="41"/>
      <x:c r="D28" s="41"/>
      <x:c r="E28" s="41"/>
      <x:c r="F28" s="41"/>
      <x:c r="G28" s="41"/>
      <x:c r="H28" s="41"/>
      <x:c r="I28" s="41"/>
      <x:c r="J28" s="41"/>
      <x:c r="K28" s="45" t="str">
        <x:f>IF(COUNTA(B28:J28)=0,"",IF(9-COUNTIF(B28:J28,"not_applicable")=0,"",COUNTIF(B28:J28,"yes")/(9-COUNTIF(B28:J28,"not_applicable"))))</x:f>
      </x:c>
      <x:c r="L28" s="41"/>
      <x:c r="M28" s="41"/>
      <x:c r="N28" s="43"/>
    </x:row>
    <x:row r="29">
      <x:c r="A29" s="44"/>
      <x:c r="B29" s="41"/>
      <x:c r="C29" s="41"/>
      <x:c r="D29" s="41"/>
      <x:c r="E29" s="41"/>
      <x:c r="F29" s="41"/>
      <x:c r="G29" s="41"/>
      <x:c r="H29" s="41"/>
      <x:c r="I29" s="41"/>
      <x:c r="J29" s="41"/>
      <x:c r="K29" s="45" t="str">
        <x:f>IF(COUNTA(B29:J29)=0,"",IF(9-COUNTIF(B29:J29,"not_applicable")=0,"",COUNTIF(B29:J29,"yes")/(9-COUNTIF(B29:J29,"not_applicable"))))</x:f>
      </x:c>
      <x:c r="L29" s="41"/>
      <x:c r="M29" s="41"/>
      <x:c r="N29" s="43"/>
    </x:row>
    <x:row r="30">
      <x:c r="A30" s="44"/>
      <x:c r="B30" s="41"/>
      <x:c r="C30" s="41"/>
      <x:c r="D30" s="41"/>
      <x:c r="E30" s="41"/>
      <x:c r="F30" s="41"/>
      <x:c r="G30" s="41"/>
      <x:c r="H30" s="41"/>
      <x:c r="I30" s="41"/>
      <x:c r="J30" s="41"/>
      <x:c r="K30" s="45" t="str">
        <x:f>IF(COUNTA(B30:J30)=0,"",IF(9-COUNTIF(B30:J30,"not_applicable")=0,"",COUNTIF(B30:J30,"yes")/(9-COUNTIF(B30:J30,"not_applicable"))))</x:f>
      </x:c>
      <x:c r="L30" s="41"/>
      <x:c r="M30" s="41"/>
      <x:c r="N30" s="43"/>
    </x:row>
    <x:row r="31">
      <x:c r="A31" s="44"/>
      <x:c r="B31" s="41"/>
      <x:c r="C31" s="41"/>
      <x:c r="D31" s="41"/>
      <x:c r="E31" s="41"/>
      <x:c r="F31" s="41"/>
      <x:c r="G31" s="41"/>
      <x:c r="H31" s="41"/>
      <x:c r="I31" s="41"/>
      <x:c r="J31" s="41"/>
      <x:c r="K31" s="45" t="str">
        <x:f>IF(COUNTA(B31:J31)=0,"",IF(9-COUNTIF(B31:J31,"not_applicable")=0,"",COUNTIF(B31:J31,"yes")/(9-COUNTIF(B31:J31,"not_applicable"))))</x:f>
      </x:c>
      <x:c r="L31" s="41"/>
      <x:c r="M31" s="41"/>
      <x:c r="N31" s="43"/>
    </x:row>
    <x:row r="32">
      <x:c r="A32" s="44"/>
      <x:c r="B32" s="41"/>
      <x:c r="C32" s="41"/>
      <x:c r="D32" s="41"/>
      <x:c r="E32" s="41"/>
      <x:c r="F32" s="41"/>
      <x:c r="G32" s="41"/>
      <x:c r="H32" s="41"/>
      <x:c r="I32" s="41"/>
      <x:c r="J32" s="41"/>
      <x:c r="K32" s="45" t="str">
        <x:f>IF(COUNTA(B32:J32)=0,"",IF(9-COUNTIF(B32:J32,"not_applicable")=0,"",COUNTIF(B32:J32,"yes")/(9-COUNTIF(B32:J32,"not_applicable"))))</x:f>
      </x:c>
      <x:c r="L32" s="41"/>
      <x:c r="M32" s="41"/>
      <x:c r="N32" s="43"/>
    </x:row>
    <x:row r="33">
      <x:c r="A33" s="44"/>
      <x:c r="B33" s="41"/>
      <x:c r="C33" s="41"/>
      <x:c r="D33" s="41"/>
      <x:c r="E33" s="41"/>
      <x:c r="F33" s="41"/>
      <x:c r="G33" s="41"/>
      <x:c r="H33" s="41"/>
      <x:c r="I33" s="41"/>
      <x:c r="J33" s="41"/>
      <x:c r="K33" s="45" t="str">
        <x:f>IF(COUNTA(B33:J33)=0,"",IF(9-COUNTIF(B33:J33,"not_applicable")=0,"",COUNTIF(B33:J33,"yes")/(9-COUNTIF(B33:J33,"not_applicable"))))</x:f>
      </x:c>
      <x:c r="L33" s="41"/>
      <x:c r="M33" s="41"/>
      <x:c r="N33" s="43"/>
    </x:row>
    <x:row r="34">
      <x:c r="A34" s="44"/>
      <x:c r="B34" s="41"/>
      <x:c r="C34" s="41"/>
      <x:c r="D34" s="41"/>
      <x:c r="E34" s="41"/>
      <x:c r="F34" s="41"/>
      <x:c r="G34" s="41"/>
      <x:c r="H34" s="41"/>
      <x:c r="I34" s="41"/>
      <x:c r="J34" s="41"/>
      <x:c r="K34" s="45" t="str">
        <x:f>IF(COUNTA(B34:J34)=0,"",IF(9-COUNTIF(B34:J34,"not_applicable")=0,"",COUNTIF(B34:J34,"yes")/(9-COUNTIF(B34:J34,"not_applicable"))))</x:f>
      </x:c>
      <x:c r="L34" s="41"/>
      <x:c r="M34" s="41"/>
      <x:c r="N34" s="43"/>
    </x:row>
    <x:row r="35">
      <x:c r="A35" s="44"/>
      <x:c r="B35" s="41"/>
      <x:c r="C35" s="41"/>
      <x:c r="D35" s="41"/>
      <x:c r="E35" s="41"/>
      <x:c r="F35" s="41"/>
      <x:c r="G35" s="41"/>
      <x:c r="H35" s="41"/>
      <x:c r="I35" s="41"/>
      <x:c r="J35" s="41"/>
      <x:c r="K35" s="45" t="str">
        <x:f>IF(COUNTA(B35:J35)=0,"",IF(9-COUNTIF(B35:J35,"not_applicable")=0,"",COUNTIF(B35:J35,"yes")/(9-COUNTIF(B35:J35,"not_applicable"))))</x:f>
      </x:c>
      <x:c r="L35" s="41"/>
      <x:c r="M35" s="41"/>
      <x:c r="N35" s="43"/>
    </x:row>
    <x:row r="36">
      <x:c r="A36" s="44"/>
      <x:c r="B36" s="41"/>
      <x:c r="C36" s="41"/>
      <x:c r="D36" s="41"/>
      <x:c r="E36" s="41"/>
      <x:c r="F36" s="41"/>
      <x:c r="G36" s="41"/>
      <x:c r="H36" s="41"/>
      <x:c r="I36" s="41"/>
      <x:c r="J36" s="41"/>
      <x:c r="K36" s="45" t="str">
        <x:f>IF(COUNTA(B36:J36)=0,"",IF(9-COUNTIF(B36:J36,"not_applicable")=0,"",COUNTIF(B36:J36,"yes")/(9-COUNTIF(B36:J36,"not_applicable"))))</x:f>
      </x:c>
      <x:c r="L36" s="41"/>
      <x:c r="M36" s="41"/>
      <x:c r="N36" s="43"/>
    </x:row>
    <x:row r="37">
      <x:c r="A37" s="44"/>
      <x:c r="B37" s="41"/>
      <x:c r="C37" s="41"/>
      <x:c r="D37" s="41"/>
      <x:c r="E37" s="41"/>
      <x:c r="F37" s="41"/>
      <x:c r="G37" s="41"/>
      <x:c r="H37" s="41"/>
      <x:c r="I37" s="41"/>
      <x:c r="J37" s="41"/>
      <x:c r="K37" s="45" t="str">
        <x:f>IF(COUNTA(B37:J37)=0,"",IF(9-COUNTIF(B37:J37,"not_applicable")=0,"",COUNTIF(B37:J37,"yes")/(9-COUNTIF(B37:J37,"not_applicable"))))</x:f>
      </x:c>
      <x:c r="L37" s="41"/>
      <x:c r="M37" s="41"/>
      <x:c r="N37" s="43"/>
    </x:row>
    <x:row r="38">
      <x:c r="A38" s="44"/>
      <x:c r="B38" s="41"/>
      <x:c r="C38" s="41"/>
      <x:c r="D38" s="41"/>
      <x:c r="E38" s="41"/>
      <x:c r="F38" s="41"/>
      <x:c r="G38" s="41"/>
      <x:c r="H38" s="41"/>
      <x:c r="I38" s="41"/>
      <x:c r="J38" s="41"/>
      <x:c r="K38" s="45" t="str">
        <x:f>IF(COUNTA(B38:J38)=0,"",IF(9-COUNTIF(B38:J38,"not_applicable")=0,"",COUNTIF(B38:J38,"yes")/(9-COUNTIF(B38:J38,"not_applicable"))))</x:f>
      </x:c>
      <x:c r="L38" s="41"/>
      <x:c r="M38" s="41"/>
      <x:c r="N38" s="43"/>
    </x:row>
    <x:row r="39">
      <x:c r="A39" s="44"/>
      <x:c r="B39" s="41"/>
      <x:c r="C39" s="41"/>
      <x:c r="D39" s="41"/>
      <x:c r="E39" s="41"/>
      <x:c r="F39" s="41"/>
      <x:c r="G39" s="41"/>
      <x:c r="H39" s="41"/>
      <x:c r="I39" s="41"/>
      <x:c r="J39" s="41"/>
      <x:c r="K39" s="45" t="str">
        <x:f>IF(COUNTA(B39:J39)=0,"",IF(9-COUNTIF(B39:J39,"not_applicable")=0,"",COUNTIF(B39:J39,"yes")/(9-COUNTIF(B39:J39,"not_applicable"))))</x:f>
      </x:c>
      <x:c r="L39" s="41"/>
      <x:c r="M39" s="41"/>
      <x:c r="N39" s="43"/>
    </x:row>
    <x:row r="40">
      <x:c r="A40" s="44"/>
      <x:c r="B40" s="41"/>
      <x:c r="C40" s="41"/>
      <x:c r="D40" s="41"/>
      <x:c r="E40" s="41"/>
      <x:c r="F40" s="41"/>
      <x:c r="G40" s="41"/>
      <x:c r="H40" s="41"/>
      <x:c r="I40" s="41"/>
      <x:c r="J40" s="41"/>
      <x:c r="K40" s="45" t="str">
        <x:f>IF(COUNTA(B40:J40)=0,"",IF(9-COUNTIF(B40:J40,"not_applicable")=0,"",COUNTIF(B40:J40,"yes")/(9-COUNTIF(B40:J40,"not_applicable"))))</x:f>
      </x:c>
      <x:c r="L40" s="41"/>
      <x:c r="M40" s="41"/>
      <x:c r="N40" s="43"/>
    </x:row>
    <x:row r="41">
      <x:c r="A41" s="44"/>
      <x:c r="B41" s="41"/>
      <x:c r="C41" s="41"/>
      <x:c r="D41" s="41"/>
      <x:c r="E41" s="41"/>
      <x:c r="F41" s="41"/>
      <x:c r="G41" s="41"/>
      <x:c r="H41" s="41"/>
      <x:c r="I41" s="41"/>
      <x:c r="J41" s="41"/>
      <x:c r="K41" s="45" t="str">
        <x:f>IF(COUNTA(B41:J41)=0,"",IF(9-COUNTIF(B41:J41,"not_applicable")=0,"",COUNTIF(B41:J41,"yes")/(9-COUNTIF(B41:J41,"not_applicable"))))</x:f>
      </x:c>
      <x:c r="L41" s="41"/>
      <x:c r="M41" s="41"/>
      <x:c r="N41" s="43"/>
    </x:row>
    <x:row r="42">
      <x:c r="A42" s="44"/>
      <x:c r="B42" s="41"/>
      <x:c r="C42" s="41"/>
      <x:c r="D42" s="41"/>
      <x:c r="E42" s="41"/>
      <x:c r="F42" s="41"/>
      <x:c r="G42" s="41"/>
      <x:c r="H42" s="41"/>
      <x:c r="I42" s="41"/>
      <x:c r="J42" s="41"/>
      <x:c r="K42" s="45" t="str">
        <x:f>IF(COUNTA(B42:J42)=0,"",IF(9-COUNTIF(B42:J42,"not_applicable")=0,"",COUNTIF(B42:J42,"yes")/(9-COUNTIF(B42:J42,"not_applicable"))))</x:f>
      </x:c>
      <x:c r="L42" s="41"/>
      <x:c r="M42" s="41"/>
      <x:c r="N42" s="43"/>
    </x:row>
    <x:row r="43">
      <x:c r="A43" s="44"/>
      <x:c r="B43" s="41"/>
      <x:c r="C43" s="41"/>
      <x:c r="D43" s="41"/>
      <x:c r="E43" s="41"/>
      <x:c r="F43" s="41"/>
      <x:c r="G43" s="41"/>
      <x:c r="H43" s="41"/>
      <x:c r="I43" s="41"/>
      <x:c r="J43" s="41"/>
      <x:c r="K43" s="45" t="str">
        <x:f>IF(COUNTA(B43:J43)=0,"",IF(9-COUNTIF(B43:J43,"not_applicable")=0,"",COUNTIF(B43:J43,"yes")/(9-COUNTIF(B43:J43,"not_applicable"))))</x:f>
      </x:c>
      <x:c r="L43" s="41"/>
      <x:c r="M43" s="41"/>
      <x:c r="N43" s="43"/>
    </x:row>
    <x:row r="44">
      <x:c r="A44" s="44"/>
      <x:c r="B44" s="41"/>
      <x:c r="C44" s="41"/>
      <x:c r="D44" s="41"/>
      <x:c r="E44" s="41"/>
      <x:c r="F44" s="41"/>
      <x:c r="G44" s="41"/>
      <x:c r="H44" s="41"/>
      <x:c r="I44" s="41"/>
      <x:c r="J44" s="41"/>
      <x:c r="K44" s="45" t="str">
        <x:f>IF(COUNTA(B44:J44)=0,"",IF(9-COUNTIF(B44:J44,"not_applicable")=0,"",COUNTIF(B44:J44,"yes")/(9-COUNTIF(B44:J44,"not_applicable"))))</x:f>
      </x:c>
      <x:c r="L44" s="41"/>
      <x:c r="M44" s="41"/>
      <x:c r="N44" s="43"/>
    </x:row>
    <x:row r="45">
      <x:c r="A45" s="44"/>
      <x:c r="B45" s="41"/>
      <x:c r="C45" s="41"/>
      <x:c r="D45" s="41"/>
      <x:c r="E45" s="41"/>
      <x:c r="F45" s="41"/>
      <x:c r="G45" s="41"/>
      <x:c r="H45" s="41"/>
      <x:c r="I45" s="41"/>
      <x:c r="J45" s="41"/>
      <x:c r="K45" s="45" t="str">
        <x:f>IF(COUNTA(B45:J45)=0,"",IF(9-COUNTIF(B45:J45,"not_applicable")=0,"",COUNTIF(B45:J45,"yes")/(9-COUNTIF(B45:J45,"not_applicable"))))</x:f>
      </x:c>
      <x:c r="L45" s="41"/>
      <x:c r="M45" s="41"/>
      <x:c r="N45" s="43"/>
    </x:row>
    <x:row r="46">
      <x:c r="A46" s="44"/>
      <x:c r="B46" s="41"/>
      <x:c r="C46" s="41"/>
      <x:c r="D46" s="41"/>
      <x:c r="E46" s="41"/>
      <x:c r="F46" s="41"/>
      <x:c r="G46" s="41"/>
      <x:c r="H46" s="41"/>
      <x:c r="I46" s="41"/>
      <x:c r="J46" s="41"/>
      <x:c r="K46" s="45" t="str">
        <x:f>IF(COUNTA(B46:J46)=0,"",IF(9-COUNTIF(B46:J46,"not_applicable")=0,"",COUNTIF(B46:J46,"yes")/(9-COUNTIF(B46:J46,"not_applicable"))))</x:f>
      </x:c>
      <x:c r="L46" s="41"/>
      <x:c r="M46" s="41"/>
      <x:c r="N46" s="43"/>
    </x:row>
    <x:row r="47">
      <x:c r="A47" s="44"/>
      <x:c r="B47" s="41"/>
      <x:c r="C47" s="41"/>
      <x:c r="D47" s="41"/>
      <x:c r="E47" s="41"/>
      <x:c r="F47" s="41"/>
      <x:c r="G47" s="41"/>
      <x:c r="H47" s="41"/>
      <x:c r="I47" s="41"/>
      <x:c r="J47" s="41"/>
      <x:c r="K47" s="45" t="str">
        <x:f>IF(COUNTA(B47:J47)=0,"",IF(9-COUNTIF(B47:J47,"not_applicable")=0,"",COUNTIF(B47:J47,"yes")/(9-COUNTIF(B47:J47,"not_applicable"))))</x:f>
      </x:c>
      <x:c r="L47" s="41"/>
      <x:c r="M47" s="41"/>
      <x:c r="N47" s="43"/>
    </x:row>
    <x:row r="48">
      <x:c r="A48" s="44"/>
      <x:c r="B48" s="41"/>
      <x:c r="C48" s="41"/>
      <x:c r="D48" s="41"/>
      <x:c r="E48" s="41"/>
      <x:c r="F48" s="41"/>
      <x:c r="G48" s="41"/>
      <x:c r="H48" s="41"/>
      <x:c r="I48" s="41"/>
      <x:c r="J48" s="41"/>
      <x:c r="K48" s="45" t="str">
        <x:f>IF(COUNTA(B48:J48)=0,"",IF(9-COUNTIF(B48:J48,"not_applicable")=0,"",COUNTIF(B48:J48,"yes")/(9-COUNTIF(B48:J48,"not_applicable"))))</x:f>
      </x:c>
      <x:c r="L48" s="41"/>
      <x:c r="M48" s="41"/>
      <x:c r="N48" s="43"/>
    </x:row>
    <x:row r="49">
      <x:c r="A49" s="44"/>
      <x:c r="B49" s="41"/>
      <x:c r="C49" s="41"/>
      <x:c r="D49" s="41"/>
      <x:c r="E49" s="41"/>
      <x:c r="F49" s="41"/>
      <x:c r="G49" s="41"/>
      <x:c r="H49" s="41"/>
      <x:c r="I49" s="41"/>
      <x:c r="J49" s="41"/>
      <x:c r="K49" s="45" t="str">
        <x:f>IF(COUNTA(B49:J49)=0,"",IF(9-COUNTIF(B49:J49,"not_applicable")=0,"",COUNTIF(B49:J49,"yes")/(9-COUNTIF(B49:J49,"not_applicable"))))</x:f>
      </x:c>
      <x:c r="L49" s="41"/>
      <x:c r="M49" s="41"/>
      <x:c r="N49" s="43"/>
    </x:row>
    <x:row r="50">
      <x:c r="A50" s="44"/>
      <x:c r="B50" s="41"/>
      <x:c r="C50" s="41"/>
      <x:c r="D50" s="41"/>
      <x:c r="E50" s="41"/>
      <x:c r="F50" s="41"/>
      <x:c r="G50" s="41"/>
      <x:c r="H50" s="41"/>
      <x:c r="I50" s="41"/>
      <x:c r="J50" s="41"/>
      <x:c r="K50" s="45" t="str">
        <x:f>IF(COUNTA(B50:J50)=0,"",IF(9-COUNTIF(B50:J50,"not_applicable")=0,"",COUNTIF(B50:J50,"yes")/(9-COUNTIF(B50:J50,"not_applicable"))))</x:f>
      </x:c>
      <x:c r="L50" s="41"/>
      <x:c r="M50" s="41"/>
      <x:c r="N50" s="43"/>
    </x:row>
    <x:row r="51">
      <x:c r="A51" s="44"/>
      <x:c r="B51" s="41"/>
      <x:c r="C51" s="41"/>
      <x:c r="D51" s="41"/>
      <x:c r="E51" s="41"/>
      <x:c r="F51" s="41"/>
      <x:c r="G51" s="41"/>
      <x:c r="H51" s="41"/>
      <x:c r="I51" s="41"/>
      <x:c r="J51" s="41"/>
      <x:c r="K51" s="45" t="str">
        <x:f>IF(COUNTA(B51:J51)=0,"",IF(9-COUNTIF(B51:J51,"not_applicable")=0,"",COUNTIF(B51:J51,"yes")/(9-COUNTIF(B51:J51,"not_applicable"))))</x:f>
      </x:c>
      <x:c r="L51" s="41"/>
      <x:c r="M51" s="41"/>
      <x:c r="N51" s="43"/>
    </x:row>
    <x:row r="52">
      <x:c r="A52" s="44"/>
      <x:c r="B52" s="41"/>
      <x:c r="C52" s="41"/>
      <x:c r="D52" s="41"/>
      <x:c r="E52" s="41"/>
      <x:c r="F52" s="41"/>
      <x:c r="G52" s="41"/>
      <x:c r="H52" s="41"/>
      <x:c r="I52" s="41"/>
      <x:c r="J52" s="41"/>
      <x:c r="K52" s="45" t="str">
        <x:f>IF(COUNTA(B52:J52)=0,"",IF(9-COUNTIF(B52:J52,"not_applicable")=0,"",COUNTIF(B52:J52,"yes")/(9-COUNTIF(B52:J52,"not_applicable"))))</x:f>
      </x:c>
      <x:c r="L52" s="41"/>
      <x:c r="M52" s="41"/>
      <x:c r="N52" s="43"/>
    </x:row>
    <x:row r="53">
      <x:c r="A53" s="44"/>
      <x:c r="B53" s="41"/>
      <x:c r="C53" s="41"/>
      <x:c r="D53" s="41"/>
      <x:c r="E53" s="41"/>
      <x:c r="F53" s="41"/>
      <x:c r="G53" s="41"/>
      <x:c r="H53" s="41"/>
      <x:c r="I53" s="41"/>
      <x:c r="J53" s="41"/>
      <x:c r="K53" s="45" t="str">
        <x:f>IF(COUNTA(B53:J53)=0,"",IF(9-COUNTIF(B53:J53,"not_applicable")=0,"",COUNTIF(B53:J53,"yes")/(9-COUNTIF(B53:J53,"not_applicable"))))</x:f>
      </x:c>
      <x:c r="L53" s="41"/>
      <x:c r="M53" s="41"/>
      <x:c r="N53" s="43"/>
    </x:row>
    <x:row r="54">
      <x:c r="A54" s="44"/>
      <x:c r="B54" s="41"/>
      <x:c r="C54" s="41"/>
      <x:c r="D54" s="41"/>
      <x:c r="E54" s="41"/>
      <x:c r="F54" s="41"/>
      <x:c r="G54" s="41"/>
      <x:c r="H54" s="41"/>
      <x:c r="I54" s="41"/>
      <x:c r="J54" s="41"/>
      <x:c r="K54" s="45" t="str">
        <x:f>IF(COUNTA(B54:J54)=0,"",IF(9-COUNTIF(B54:J54,"not_applicable")=0,"",COUNTIF(B54:J54,"yes")/(9-COUNTIF(B54:J54,"not_applicable"))))</x:f>
      </x:c>
      <x:c r="L54" s="41"/>
      <x:c r="M54" s="41"/>
      <x:c r="N54" s="43"/>
    </x:row>
    <x:row r="55">
      <x:c r="A55" s="44"/>
      <x:c r="B55" s="41"/>
      <x:c r="C55" s="41"/>
      <x:c r="D55" s="41"/>
      <x:c r="E55" s="41"/>
      <x:c r="F55" s="41"/>
      <x:c r="G55" s="41"/>
      <x:c r="H55" s="41"/>
      <x:c r="I55" s="41"/>
      <x:c r="J55" s="41"/>
      <x:c r="K55" s="45" t="str">
        <x:f>IF(COUNTA(B55:J55)=0,"",IF(9-COUNTIF(B55:J55,"not_applicable")=0,"",COUNTIF(B55:J55,"yes")/(9-COUNTIF(B55:J55,"not_applicable"))))</x:f>
      </x:c>
      <x:c r="L55" s="41"/>
      <x:c r="M55" s="41"/>
      <x:c r="N55" s="43"/>
    </x:row>
    <x:row r="56">
      <x:c r="A56" s="44"/>
      <x:c r="B56" s="41"/>
      <x:c r="C56" s="41"/>
      <x:c r="D56" s="41"/>
      <x:c r="E56" s="41"/>
      <x:c r="F56" s="41"/>
      <x:c r="G56" s="41"/>
      <x:c r="H56" s="41"/>
      <x:c r="I56" s="41"/>
      <x:c r="J56" s="41"/>
      <x:c r="K56" s="45" t="str">
        <x:f>IF(COUNTA(B56:J56)=0,"",IF(9-COUNTIF(B56:J56,"not_applicable")=0,"",COUNTIF(B56:J56,"yes")/(9-COUNTIF(B56:J56,"not_applicable"))))</x:f>
      </x:c>
      <x:c r="L56" s="41"/>
      <x:c r="M56" s="41"/>
      <x:c r="N56" s="43"/>
    </x:row>
    <x:row r="57">
      <x:c r="A57" s="44"/>
      <x:c r="B57" s="41"/>
      <x:c r="C57" s="41"/>
      <x:c r="D57" s="41"/>
      <x:c r="E57" s="41"/>
      <x:c r="F57" s="41"/>
      <x:c r="G57" s="41"/>
      <x:c r="H57" s="41"/>
      <x:c r="I57" s="41"/>
      <x:c r="J57" s="41"/>
      <x:c r="K57" s="45" t="str">
        <x:f>IF(COUNTA(B57:J57)=0,"",IF(9-COUNTIF(B57:J57,"not_applicable")=0,"",COUNTIF(B57:J57,"yes")/(9-COUNTIF(B57:J57,"not_applicable"))))</x:f>
      </x:c>
      <x:c r="L57" s="41"/>
      <x:c r="M57" s="41"/>
      <x:c r="N57" s="43"/>
    </x:row>
    <x:row r="58">
      <x:c r="A58" s="44"/>
      <x:c r="B58" s="41"/>
      <x:c r="C58" s="41"/>
      <x:c r="D58" s="41"/>
      <x:c r="E58" s="41"/>
      <x:c r="F58" s="41"/>
      <x:c r="G58" s="41"/>
      <x:c r="H58" s="41"/>
      <x:c r="I58" s="41"/>
      <x:c r="J58" s="41"/>
      <x:c r="K58" s="45" t="str">
        <x:f>IF(COUNTA(B58:J58)=0,"",IF(9-COUNTIF(B58:J58,"not_applicable")=0,"",COUNTIF(B58:J58,"yes")/(9-COUNTIF(B58:J58,"not_applicable"))))</x:f>
      </x:c>
      <x:c r="L58" s="41"/>
      <x:c r="M58" s="41"/>
      <x:c r="N58" s="43"/>
    </x:row>
    <x:row r="59">
      <x:c r="A59" s="44"/>
      <x:c r="B59" s="41"/>
      <x:c r="C59" s="41"/>
      <x:c r="D59" s="41"/>
      <x:c r="E59" s="41"/>
      <x:c r="F59" s="41"/>
      <x:c r="G59" s="41"/>
      <x:c r="H59" s="41"/>
      <x:c r="I59" s="41"/>
      <x:c r="J59" s="41"/>
      <x:c r="K59" s="45" t="str">
        <x:f>IF(COUNTA(B59:J59)=0,"",IF(9-COUNTIF(B59:J59,"not_applicable")=0,"",COUNTIF(B59:J59,"yes")/(9-COUNTIF(B59:J59,"not_applicable"))))</x:f>
      </x:c>
      <x:c r="L59" s="41"/>
      <x:c r="M59" s="41"/>
      <x:c r="N59" s="43"/>
    </x:row>
    <x:row r="60">
      <x:c r="A60" s="44"/>
      <x:c r="B60" s="41"/>
      <x:c r="C60" s="41"/>
      <x:c r="D60" s="41"/>
      <x:c r="E60" s="41"/>
      <x:c r="F60" s="41"/>
      <x:c r="G60" s="41"/>
      <x:c r="H60" s="41"/>
      <x:c r="I60" s="41"/>
      <x:c r="J60" s="41"/>
      <x:c r="K60" s="45" t="str">
        <x:f>IF(COUNTA(B60:J60)=0,"",IF(9-COUNTIF(B60:J60,"not_applicable")=0,"",COUNTIF(B60:J60,"yes")/(9-COUNTIF(B60:J60,"not_applicable"))))</x:f>
      </x:c>
      <x:c r="L60" s="41"/>
      <x:c r="M60" s="41"/>
      <x:c r="N60" s="43"/>
    </x:row>
    <x:row r="61">
      <x:c r="A61" s="44"/>
      <x:c r="B61" s="41"/>
      <x:c r="C61" s="41"/>
      <x:c r="D61" s="41"/>
      <x:c r="E61" s="41"/>
      <x:c r="F61" s="41"/>
      <x:c r="G61" s="41"/>
      <x:c r="H61" s="41"/>
      <x:c r="I61" s="41"/>
      <x:c r="J61" s="41"/>
      <x:c r="K61" s="45" t="str">
        <x:f>IF(COUNTA(B61:J61)=0,"",IF(9-COUNTIF(B61:J61,"not_applicable")=0,"",COUNTIF(B61:J61,"yes")/(9-COUNTIF(B61:J61,"not_applicable"))))</x:f>
      </x:c>
      <x:c r="L61" s="41"/>
      <x:c r="M61" s="41"/>
      <x:c r="N61" s="43"/>
    </x:row>
    <x:row r="62">
      <x:c r="A62" s="44"/>
      <x:c r="B62" s="41"/>
      <x:c r="C62" s="41"/>
      <x:c r="D62" s="41"/>
      <x:c r="E62" s="41"/>
      <x:c r="F62" s="41"/>
      <x:c r="G62" s="41"/>
      <x:c r="H62" s="41"/>
      <x:c r="I62" s="41"/>
      <x:c r="J62" s="41"/>
      <x:c r="K62" s="45" t="str">
        <x:f>IF(COUNTA(B62:J62)=0,"",IF(9-COUNTIF(B62:J62,"not_applicable")=0,"",COUNTIF(B62:J62,"yes")/(9-COUNTIF(B62:J62,"not_applicable"))))</x:f>
      </x:c>
      <x:c r="L62" s="41"/>
      <x:c r="M62" s="41"/>
      <x:c r="N62" s="43"/>
    </x:row>
    <x:row r="63">
      <x:c r="A63" s="44"/>
      <x:c r="B63" s="41"/>
      <x:c r="C63" s="41"/>
      <x:c r="D63" s="41"/>
      <x:c r="E63" s="41"/>
      <x:c r="F63" s="41"/>
      <x:c r="G63" s="41"/>
      <x:c r="H63" s="41"/>
      <x:c r="I63" s="41"/>
      <x:c r="J63" s="41"/>
      <x:c r="K63" s="45" t="str">
        <x:f>IF(COUNTA(B63:J63)=0,"",IF(9-COUNTIF(B63:J63,"not_applicable")=0,"",COUNTIF(B63:J63,"yes")/(9-COUNTIF(B63:J63,"not_applicable"))))</x:f>
      </x:c>
      <x:c r="L63" s="41"/>
      <x:c r="M63" s="41"/>
      <x:c r="N63" s="43"/>
    </x:row>
    <x:row r="64">
      <x:c r="A64" s="44"/>
      <x:c r="B64" s="41"/>
      <x:c r="C64" s="41"/>
      <x:c r="D64" s="41"/>
      <x:c r="E64" s="41"/>
      <x:c r="F64" s="41"/>
      <x:c r="G64" s="41"/>
      <x:c r="H64" s="41"/>
      <x:c r="I64" s="41"/>
      <x:c r="J64" s="41"/>
      <x:c r="K64" s="45" t="str">
        <x:f>IF(COUNTA(B64:J64)=0,"",IF(9-COUNTIF(B64:J64,"not_applicable")=0,"",COUNTIF(B64:J64,"yes")/(9-COUNTIF(B64:J64,"not_applicable"))))</x:f>
      </x:c>
      <x:c r="L64" s="41"/>
      <x:c r="M64" s="41"/>
      <x:c r="N64" s="43"/>
    </x:row>
    <x:row r="65">
      <x:c r="A65" s="44"/>
      <x:c r="B65" s="41"/>
      <x:c r="C65" s="41"/>
      <x:c r="D65" s="41"/>
      <x:c r="E65" s="41"/>
      <x:c r="F65" s="41"/>
      <x:c r="G65" s="41"/>
      <x:c r="H65" s="41"/>
      <x:c r="I65" s="41"/>
      <x:c r="J65" s="41"/>
      <x:c r="K65" s="45" t="str">
        <x:f>IF(COUNTA(B65:J65)=0,"",IF(9-COUNTIF(B65:J65,"not_applicable")=0,"",COUNTIF(B65:J65,"yes")/(9-COUNTIF(B65:J65,"not_applicable"))))</x:f>
      </x:c>
      <x:c r="L65" s="41"/>
      <x:c r="M65" s="41"/>
      <x:c r="N65" s="43"/>
    </x:row>
    <x:row r="66">
      <x:c r="A66" s="44"/>
      <x:c r="B66" s="41"/>
      <x:c r="C66" s="41"/>
      <x:c r="D66" s="41"/>
      <x:c r="E66" s="41"/>
      <x:c r="F66" s="41"/>
      <x:c r="G66" s="41"/>
      <x:c r="H66" s="41"/>
      <x:c r="I66" s="41"/>
      <x:c r="J66" s="41"/>
      <x:c r="K66" s="45" t="str">
        <x:f>IF(COUNTA(B66:J66)=0,"",IF(9-COUNTIF(B66:J66,"not_applicable")=0,"",COUNTIF(B66:J66,"yes")/(9-COUNTIF(B66:J66,"not_applicable"))))</x:f>
      </x:c>
      <x:c r="L66" s="41"/>
      <x:c r="M66" s="41"/>
      <x:c r="N66" s="43"/>
    </x:row>
    <x:row r="67">
      <x:c r="A67" s="44"/>
      <x:c r="B67" s="41"/>
      <x:c r="C67" s="41"/>
      <x:c r="D67" s="41"/>
      <x:c r="E67" s="41"/>
      <x:c r="F67" s="41"/>
      <x:c r="G67" s="41"/>
      <x:c r="H67" s="41"/>
      <x:c r="I67" s="41"/>
      <x:c r="J67" s="41"/>
      <x:c r="K67" s="45" t="str">
        <x:f>IF(COUNTA(B67:J67)=0,"",IF(9-COUNTIF(B67:J67,"not_applicable")=0,"",COUNTIF(B67:J67,"yes")/(9-COUNTIF(B67:J67,"not_applicable"))))</x:f>
      </x:c>
      <x:c r="L67" s="41"/>
      <x:c r="M67" s="41"/>
      <x:c r="N67" s="43"/>
    </x:row>
    <x:row r="68">
      <x:c r="A68" s="44"/>
      <x:c r="B68" s="41"/>
      <x:c r="C68" s="41"/>
      <x:c r="D68" s="41"/>
      <x:c r="E68" s="41"/>
      <x:c r="F68" s="41"/>
      <x:c r="G68" s="41"/>
      <x:c r="H68" s="41"/>
      <x:c r="I68" s="41"/>
      <x:c r="J68" s="41"/>
      <x:c r="K68" s="45" t="str">
        <x:f>IF(COUNTA(B68:J68)=0,"",IF(9-COUNTIF(B68:J68,"not_applicable")=0,"",COUNTIF(B68:J68,"yes")/(9-COUNTIF(B68:J68,"not_applicable"))))</x:f>
      </x:c>
      <x:c r="L68" s="41"/>
      <x:c r="M68" s="41"/>
      <x:c r="N68" s="43"/>
    </x:row>
    <x:row r="69">
      <x:c r="A69" s="44"/>
      <x:c r="B69" s="41"/>
      <x:c r="C69" s="41"/>
      <x:c r="D69" s="41"/>
      <x:c r="E69" s="41"/>
      <x:c r="F69" s="41"/>
      <x:c r="G69" s="41"/>
      <x:c r="H69" s="41"/>
      <x:c r="I69" s="41"/>
      <x:c r="J69" s="41"/>
      <x:c r="K69" s="45" t="str">
        <x:f>IF(COUNTA(B69:J69)=0,"",IF(9-COUNTIF(B69:J69,"not_applicable")=0,"",COUNTIF(B69:J69,"yes")/(9-COUNTIF(B69:J69,"not_applicable"))))</x:f>
      </x:c>
      <x:c r="L69" s="41"/>
      <x:c r="M69" s="41"/>
      <x:c r="N69" s="43"/>
    </x:row>
    <x:row r="70">
      <x:c r="A70" s="44"/>
      <x:c r="B70" s="41"/>
      <x:c r="C70" s="41"/>
      <x:c r="D70" s="41"/>
      <x:c r="E70" s="41"/>
      <x:c r="F70" s="41"/>
      <x:c r="G70" s="41"/>
      <x:c r="H70" s="41"/>
      <x:c r="I70" s="41"/>
      <x:c r="J70" s="41"/>
      <x:c r="K70" s="45" t="str">
        <x:f>IF(COUNTA(B70:J70)=0,"",IF(9-COUNTIF(B70:J70,"not_applicable")=0,"",COUNTIF(B70:J70,"yes")/(9-COUNTIF(B70:J70,"not_applicable"))))</x:f>
      </x:c>
      <x:c r="L70" s="41"/>
      <x:c r="M70" s="41"/>
      <x:c r="N70" s="43"/>
    </x:row>
    <x:row r="71">
      <x:c r="A71" s="44"/>
      <x:c r="B71" s="41"/>
      <x:c r="C71" s="41"/>
      <x:c r="D71" s="41"/>
      <x:c r="E71" s="41"/>
      <x:c r="F71" s="41"/>
      <x:c r="G71" s="41"/>
      <x:c r="H71" s="41"/>
      <x:c r="I71" s="41"/>
      <x:c r="J71" s="41"/>
      <x:c r="K71" s="45" t="str">
        <x:f>IF(COUNTA(B71:J71)=0,"",IF(9-COUNTIF(B71:J71,"not_applicable")=0,"",COUNTIF(B71:J71,"yes")/(9-COUNTIF(B71:J71,"not_applicable"))))</x:f>
      </x:c>
      <x:c r="L71" s="41"/>
      <x:c r="M71" s="41"/>
      <x:c r="N71" s="43"/>
    </x:row>
    <x:row r="72">
      <x:c r="A72" s="44"/>
      <x:c r="B72" s="41"/>
      <x:c r="C72" s="41"/>
      <x:c r="D72" s="41"/>
      <x:c r="E72" s="41"/>
      <x:c r="F72" s="41"/>
      <x:c r="G72" s="41"/>
      <x:c r="H72" s="41"/>
      <x:c r="I72" s="41"/>
      <x:c r="J72" s="41"/>
      <x:c r="K72" s="45" t="str">
        <x:f>IF(COUNTA(B72:J72)=0,"",IF(9-COUNTIF(B72:J72,"not_applicable")=0,"",COUNTIF(B72:J72,"yes")/(9-COUNTIF(B72:J72,"not_applicable"))))</x:f>
      </x:c>
      <x:c r="L72" s="41"/>
      <x:c r="M72" s="41"/>
      <x:c r="N72" s="43"/>
    </x:row>
    <x:row r="73">
      <x:c r="A73" s="44"/>
      <x:c r="B73" s="41"/>
      <x:c r="C73" s="41"/>
      <x:c r="D73" s="41"/>
      <x:c r="E73" s="41"/>
      <x:c r="F73" s="41"/>
      <x:c r="G73" s="41"/>
      <x:c r="H73" s="41"/>
      <x:c r="I73" s="41"/>
      <x:c r="J73" s="41"/>
      <x:c r="K73" s="45" t="str">
        <x:f>IF(COUNTA(B73:J73)=0,"",IF(9-COUNTIF(B73:J73,"not_applicable")=0,"",COUNTIF(B73:J73,"yes")/(9-COUNTIF(B73:J73,"not_applicable"))))</x:f>
      </x:c>
      <x:c r="L73" s="41"/>
      <x:c r="M73" s="41"/>
      <x:c r="N73" s="43"/>
    </x:row>
    <x:row r="74">
      <x:c r="A74" s="44"/>
      <x:c r="B74" s="41"/>
      <x:c r="C74" s="41"/>
      <x:c r="D74" s="41"/>
      <x:c r="E74" s="41"/>
      <x:c r="F74" s="41"/>
      <x:c r="G74" s="41"/>
      <x:c r="H74" s="41"/>
      <x:c r="I74" s="41"/>
      <x:c r="J74" s="41"/>
      <x:c r="K74" s="45" t="str">
        <x:f>IF(COUNTA(B74:J74)=0,"",IF(9-COUNTIF(B74:J74,"not_applicable")=0,"",COUNTIF(B74:J74,"yes")/(9-COUNTIF(B74:J74,"not_applicable"))))</x:f>
      </x:c>
      <x:c r="L74" s="41"/>
      <x:c r="M74" s="41"/>
      <x:c r="N74" s="43"/>
    </x:row>
    <x:row r="75">
      <x:c r="A75" s="44"/>
      <x:c r="B75" s="41"/>
      <x:c r="C75" s="41"/>
      <x:c r="D75" s="41"/>
      <x:c r="E75" s="41"/>
      <x:c r="F75" s="41"/>
      <x:c r="G75" s="41"/>
      <x:c r="H75" s="41"/>
      <x:c r="I75" s="41"/>
      <x:c r="J75" s="41"/>
      <x:c r="K75" s="45" t="str">
        <x:f>IF(COUNTA(B75:J75)=0,"",IF(9-COUNTIF(B75:J75,"not_applicable")=0,"",COUNTIF(B75:J75,"yes")/(9-COUNTIF(B75:J75,"not_applicable"))))</x:f>
      </x:c>
      <x:c r="L75" s="41"/>
      <x:c r="M75" s="41"/>
      <x:c r="N75" s="43"/>
    </x:row>
    <x:row r="76">
      <x:c r="A76" s="44"/>
      <x:c r="B76" s="41"/>
      <x:c r="C76" s="41"/>
      <x:c r="D76" s="41"/>
      <x:c r="E76" s="41"/>
      <x:c r="F76" s="41"/>
      <x:c r="G76" s="41"/>
      <x:c r="H76" s="41"/>
      <x:c r="I76" s="41"/>
      <x:c r="J76" s="41"/>
      <x:c r="K76" s="45" t="str">
        <x:f>IF(COUNTA(B76:J76)=0,"",IF(9-COUNTIF(B76:J76,"not_applicable")=0,"",COUNTIF(B76:J76,"yes")/(9-COUNTIF(B76:J76,"not_applicable"))))</x:f>
      </x:c>
      <x:c r="L76" s="41"/>
      <x:c r="M76" s="41"/>
      <x:c r="N76" s="43"/>
    </x:row>
    <x:row r="77">
      <x:c r="A77" s="44"/>
      <x:c r="B77" s="41"/>
      <x:c r="C77" s="41"/>
      <x:c r="D77" s="41"/>
      <x:c r="E77" s="41"/>
      <x:c r="F77" s="41"/>
      <x:c r="G77" s="41"/>
      <x:c r="H77" s="41"/>
      <x:c r="I77" s="41"/>
      <x:c r="J77" s="41"/>
      <x:c r="K77" s="45" t="str">
        <x:f>IF(COUNTA(B77:J77)=0,"",IF(9-COUNTIF(B77:J77,"not_applicable")=0,"",COUNTIF(B77:J77,"yes")/(9-COUNTIF(B77:J77,"not_applicable"))))</x:f>
      </x:c>
      <x:c r="L77" s="41"/>
      <x:c r="M77" s="41"/>
      <x:c r="N77" s="43"/>
    </x:row>
    <x:row r="78">
      <x:c r="A78" s="44"/>
      <x:c r="B78" s="41"/>
      <x:c r="C78" s="41"/>
      <x:c r="D78" s="41"/>
      <x:c r="E78" s="41"/>
      <x:c r="F78" s="41"/>
      <x:c r="G78" s="41"/>
      <x:c r="H78" s="41"/>
      <x:c r="I78" s="41"/>
      <x:c r="J78" s="41"/>
      <x:c r="K78" s="45" t="str">
        <x:f>IF(COUNTA(B78:J78)=0,"",IF(9-COUNTIF(B78:J78,"not_applicable")=0,"",COUNTIF(B78:J78,"yes")/(9-COUNTIF(B78:J78,"not_applicable"))))</x:f>
      </x:c>
      <x:c r="L78" s="41"/>
      <x:c r="M78" s="41"/>
      <x:c r="N78" s="43"/>
    </x:row>
    <x:row r="79">
      <x:c r="A79" s="44"/>
      <x:c r="B79" s="41"/>
      <x:c r="C79" s="41"/>
      <x:c r="D79" s="41"/>
      <x:c r="E79" s="41"/>
      <x:c r="F79" s="41"/>
      <x:c r="G79" s="41"/>
      <x:c r="H79" s="41"/>
      <x:c r="I79" s="41"/>
      <x:c r="J79" s="41"/>
      <x:c r="K79" s="45" t="str">
        <x:f>IF(COUNTA(B79:J79)=0,"",IF(9-COUNTIF(B79:J79,"not_applicable")=0,"",COUNTIF(B79:J79,"yes")/(9-COUNTIF(B79:J79,"not_applicable"))))</x:f>
      </x:c>
      <x:c r="L79" s="41"/>
      <x:c r="M79" s="41"/>
      <x:c r="N79" s="43"/>
    </x:row>
    <x:row r="80">
      <x:c r="A80" s="44"/>
      <x:c r="B80" s="41"/>
      <x:c r="C80" s="41"/>
      <x:c r="D80" s="41"/>
      <x:c r="E80" s="41"/>
      <x:c r="F80" s="41"/>
      <x:c r="G80" s="41"/>
      <x:c r="H80" s="41"/>
      <x:c r="I80" s="41"/>
      <x:c r="J80" s="41"/>
      <x:c r="K80" s="45" t="str">
        <x:f>IF(COUNTA(B80:J80)=0,"",IF(9-COUNTIF(B80:J80,"not_applicable")=0,"",COUNTIF(B80:J80,"yes")/(9-COUNTIF(B80:J80,"not_applicable"))))</x:f>
      </x:c>
      <x:c r="L80" s="41"/>
      <x:c r="M80" s="41"/>
      <x:c r="N80" s="43"/>
    </x:row>
    <x:row r="81">
      <x:c r="A81" s="44"/>
      <x:c r="B81" s="41"/>
      <x:c r="C81" s="41"/>
      <x:c r="D81" s="41"/>
      <x:c r="E81" s="41"/>
      <x:c r="F81" s="41"/>
      <x:c r="G81" s="41"/>
      <x:c r="H81" s="41"/>
      <x:c r="I81" s="41"/>
      <x:c r="J81" s="41"/>
      <x:c r="K81" s="45" t="str">
        <x:f>IF(COUNTA(B81:J81)=0,"",IF(9-COUNTIF(B81:J81,"not_applicable")=0,"",COUNTIF(B81:J81,"yes")/(9-COUNTIF(B81:J81,"not_applicable"))))</x:f>
      </x:c>
      <x:c r="L81" s="41"/>
      <x:c r="M81" s="41"/>
      <x:c r="N81" s="43"/>
    </x:row>
    <x:row r="82">
      <x:c r="A82" s="44"/>
      <x:c r="B82" s="41"/>
      <x:c r="C82" s="41"/>
      <x:c r="D82" s="41"/>
      <x:c r="E82" s="41"/>
      <x:c r="F82" s="41"/>
      <x:c r="G82" s="41"/>
      <x:c r="H82" s="41"/>
      <x:c r="I82" s="41"/>
      <x:c r="J82" s="41"/>
      <x:c r="K82" s="45" t="str">
        <x:f>IF(COUNTA(B82:J82)=0,"",IF(9-COUNTIF(B82:J82,"not_applicable")=0,"",COUNTIF(B82:J82,"yes")/(9-COUNTIF(B82:J82,"not_applicable"))))</x:f>
      </x:c>
      <x:c r="L82" s="41"/>
      <x:c r="M82" s="41"/>
      <x:c r="N82" s="43"/>
    </x:row>
    <x:row r="83">
      <x:c r="A83" s="44"/>
      <x:c r="B83" s="41"/>
      <x:c r="C83" s="41"/>
      <x:c r="D83" s="41"/>
      <x:c r="E83" s="41"/>
      <x:c r="F83" s="41"/>
      <x:c r="G83" s="41"/>
      <x:c r="H83" s="41"/>
      <x:c r="I83" s="41"/>
      <x:c r="J83" s="41"/>
      <x:c r="K83" s="45" t="str">
        <x:f>IF(COUNTA(B83:J83)=0,"",IF(9-COUNTIF(B83:J83,"not_applicable")=0,"",COUNTIF(B83:J83,"yes")/(9-COUNTIF(B83:J83,"not_applicable"))))</x:f>
      </x:c>
      <x:c r="L83" s="41"/>
      <x:c r="M83" s="41"/>
      <x:c r="N83" s="43"/>
    </x:row>
    <x:row r="84">
      <x:c r="A84" s="44"/>
      <x:c r="B84" s="41"/>
      <x:c r="C84" s="41"/>
      <x:c r="D84" s="41"/>
      <x:c r="E84" s="41"/>
      <x:c r="F84" s="41"/>
      <x:c r="G84" s="41"/>
      <x:c r="H84" s="41"/>
      <x:c r="I84" s="41"/>
      <x:c r="J84" s="41"/>
      <x:c r="K84" s="45" t="str">
        <x:f>IF(COUNTA(B84:J84)=0,"",IF(9-COUNTIF(B84:J84,"not_applicable")=0,"",COUNTIF(B84:J84,"yes")/(9-COUNTIF(B84:J84,"not_applicable"))))</x:f>
      </x:c>
      <x:c r="L84" s="41"/>
      <x:c r="M84" s="41"/>
      <x:c r="N84" s="43"/>
    </x:row>
    <x:row r="85">
      <x:c r="A85" s="44"/>
      <x:c r="B85" s="41"/>
      <x:c r="C85" s="41"/>
      <x:c r="D85" s="41"/>
      <x:c r="E85" s="41"/>
      <x:c r="F85" s="41"/>
      <x:c r="G85" s="41"/>
      <x:c r="H85" s="41"/>
      <x:c r="I85" s="41"/>
      <x:c r="J85" s="41"/>
      <x:c r="K85" s="45" t="str">
        <x:f>IF(COUNTA(B85:J85)=0,"",IF(9-COUNTIF(B85:J85,"not_applicable")=0,"",COUNTIF(B85:J85,"yes")/(9-COUNTIF(B85:J85,"not_applicable"))))</x:f>
      </x:c>
      <x:c r="L85" s="41"/>
      <x:c r="M85" s="41"/>
      <x:c r="N85" s="43"/>
    </x:row>
    <x:row r="86">
      <x:c r="A86" s="44"/>
      <x:c r="B86" s="41"/>
      <x:c r="C86" s="41"/>
      <x:c r="D86" s="41"/>
      <x:c r="E86" s="41"/>
      <x:c r="F86" s="41"/>
      <x:c r="G86" s="41"/>
      <x:c r="H86" s="41"/>
      <x:c r="I86" s="41"/>
      <x:c r="J86" s="41"/>
      <x:c r="K86" s="45" t="str">
        <x:f>IF(COUNTA(B86:J86)=0,"",IF(9-COUNTIF(B86:J86,"not_applicable")=0,"",COUNTIF(B86:J86,"yes")/(9-COUNTIF(B86:J86,"not_applicable"))))</x:f>
      </x:c>
      <x:c r="L86" s="41"/>
      <x:c r="M86" s="41"/>
      <x:c r="N86" s="43"/>
    </x:row>
    <x:row r="87">
      <x:c r="A87" s="44"/>
      <x:c r="B87" s="41"/>
      <x:c r="C87" s="41"/>
      <x:c r="D87" s="41"/>
      <x:c r="E87" s="41"/>
      <x:c r="F87" s="41"/>
      <x:c r="G87" s="41"/>
      <x:c r="H87" s="41"/>
      <x:c r="I87" s="41"/>
      <x:c r="J87" s="41"/>
      <x:c r="K87" s="45" t="str">
        <x:f>IF(COUNTA(B87:J87)=0,"",IF(9-COUNTIF(B87:J87,"not_applicable")=0,"",COUNTIF(B87:J87,"yes")/(9-COUNTIF(B87:J87,"not_applicable"))))</x:f>
      </x:c>
      <x:c r="L87" s="41"/>
      <x:c r="M87" s="41"/>
      <x:c r="N87" s="43"/>
    </x:row>
    <x:row r="88">
      <x:c r="A88" s="44"/>
      <x:c r="B88" s="41"/>
      <x:c r="C88" s="41"/>
      <x:c r="D88" s="41"/>
      <x:c r="E88" s="41"/>
      <x:c r="F88" s="41"/>
      <x:c r="G88" s="41"/>
      <x:c r="H88" s="41"/>
      <x:c r="I88" s="41"/>
      <x:c r="J88" s="41"/>
      <x:c r="K88" s="45" t="str">
        <x:f>IF(COUNTA(B88:J88)=0,"",IF(9-COUNTIF(B88:J88,"not_applicable")=0,"",COUNTIF(B88:J88,"yes")/(9-COUNTIF(B88:J88,"not_applicable"))))</x:f>
      </x:c>
      <x:c r="L88" s="41"/>
      <x:c r="M88" s="41"/>
      <x:c r="N88" s="43"/>
    </x:row>
    <x:row r="89">
      <x:c r="A89" s="44"/>
      <x:c r="B89" s="41"/>
      <x:c r="C89" s="41"/>
      <x:c r="D89" s="41"/>
      <x:c r="E89" s="41"/>
      <x:c r="F89" s="41"/>
      <x:c r="G89" s="41"/>
      <x:c r="H89" s="41"/>
      <x:c r="I89" s="41"/>
      <x:c r="J89" s="41"/>
      <x:c r="K89" s="45" t="str">
        <x:f>IF(COUNTA(B89:J89)=0,"",IF(9-COUNTIF(B89:J89,"not_applicable")=0,"",COUNTIF(B89:J89,"yes")/(9-COUNTIF(B89:J89,"not_applicable"))))</x:f>
      </x:c>
      <x:c r="L89" s="41"/>
      <x:c r="M89" s="41"/>
      <x:c r="N89" s="43"/>
    </x:row>
    <x:row r="90">
      <x:c r="A90" s="44"/>
      <x:c r="B90" s="41"/>
      <x:c r="C90" s="41"/>
      <x:c r="D90" s="41"/>
      <x:c r="E90" s="41"/>
      <x:c r="F90" s="41"/>
      <x:c r="G90" s="41"/>
      <x:c r="H90" s="41"/>
      <x:c r="I90" s="41"/>
      <x:c r="J90" s="41"/>
      <x:c r="K90" s="45" t="str">
        <x:f>IF(COUNTA(B90:J90)=0,"",IF(9-COUNTIF(B90:J90,"not_applicable")=0,"",COUNTIF(B90:J90,"yes")/(9-COUNTIF(B90:J90,"not_applicable"))))</x:f>
      </x:c>
      <x:c r="L90" s="41"/>
      <x:c r="M90" s="41"/>
      <x:c r="N90" s="43"/>
    </x:row>
    <x:row r="91">
      <x:c r="A91" s="44"/>
      <x:c r="B91" s="41"/>
      <x:c r="C91" s="41"/>
      <x:c r="D91" s="41"/>
      <x:c r="E91" s="41"/>
      <x:c r="F91" s="41"/>
      <x:c r="G91" s="41"/>
      <x:c r="H91" s="41"/>
      <x:c r="I91" s="41"/>
      <x:c r="J91" s="41"/>
      <x:c r="K91" s="45" t="str">
        <x:f>IF(COUNTA(B91:J91)=0,"",IF(9-COUNTIF(B91:J91,"not_applicable")=0,"",COUNTIF(B91:J91,"yes")/(9-COUNTIF(B91:J91,"not_applicable"))))</x:f>
      </x:c>
      <x:c r="L91" s="41"/>
      <x:c r="M91" s="41"/>
      <x:c r="N91" s="43"/>
    </x:row>
    <x:row r="92">
      <x:c r="A92" s="44"/>
      <x:c r="B92" s="41"/>
      <x:c r="C92" s="41"/>
      <x:c r="D92" s="41"/>
      <x:c r="E92" s="41"/>
      <x:c r="F92" s="41"/>
      <x:c r="G92" s="41"/>
      <x:c r="H92" s="41"/>
      <x:c r="I92" s="41"/>
      <x:c r="J92" s="41"/>
      <x:c r="K92" s="45" t="str">
        <x:f>IF(COUNTA(B92:J92)=0,"",IF(9-COUNTIF(B92:J92,"not_applicable")=0,"",COUNTIF(B92:J92,"yes")/(9-COUNTIF(B92:J92,"not_applicable"))))</x:f>
      </x:c>
      <x:c r="L92" s="41"/>
      <x:c r="M92" s="41"/>
      <x:c r="N92" s="43"/>
    </x:row>
    <x:row r="93">
      <x:c r="A93" s="44"/>
      <x:c r="B93" s="41"/>
      <x:c r="C93" s="41"/>
      <x:c r="D93" s="41"/>
      <x:c r="E93" s="41"/>
      <x:c r="F93" s="41"/>
      <x:c r="G93" s="41"/>
      <x:c r="H93" s="41"/>
      <x:c r="I93" s="41"/>
      <x:c r="J93" s="41"/>
      <x:c r="K93" s="45" t="str">
        <x:f>IF(COUNTA(B93:J93)=0,"",IF(9-COUNTIF(B93:J93,"not_applicable")=0,"",COUNTIF(B93:J93,"yes")/(9-COUNTIF(B93:J93,"not_applicable"))))</x:f>
      </x:c>
      <x:c r="L93" s="41"/>
      <x:c r="M93" s="41"/>
      <x:c r="N93" s="43"/>
    </x:row>
    <x:row r="94">
      <x:c r="A94" s="44"/>
      <x:c r="B94" s="41"/>
      <x:c r="C94" s="41"/>
      <x:c r="D94" s="41"/>
      <x:c r="E94" s="41"/>
      <x:c r="F94" s="41"/>
      <x:c r="G94" s="41"/>
      <x:c r="H94" s="41"/>
      <x:c r="I94" s="41"/>
      <x:c r="J94" s="41"/>
      <x:c r="K94" s="45" t="str">
        <x:f>IF(COUNTA(B94:J94)=0,"",IF(9-COUNTIF(B94:J94,"not_applicable")=0,"",COUNTIF(B94:J94,"yes")/(9-COUNTIF(B94:J94,"not_applicable"))))</x:f>
      </x:c>
      <x:c r="L94" s="41"/>
      <x:c r="M94" s="41"/>
      <x:c r="N94" s="43"/>
    </x:row>
    <x:row r="95">
      <x:c r="A95" s="44"/>
      <x:c r="B95" s="41"/>
      <x:c r="C95" s="41"/>
      <x:c r="D95" s="41"/>
      <x:c r="E95" s="41"/>
      <x:c r="F95" s="41"/>
      <x:c r="G95" s="41"/>
      <x:c r="H95" s="41"/>
      <x:c r="I95" s="41"/>
      <x:c r="J95" s="41"/>
      <x:c r="K95" s="45" t="str">
        <x:f>IF(COUNTA(B95:J95)=0,"",IF(9-COUNTIF(B95:J95,"not_applicable")=0,"",COUNTIF(B95:J95,"yes")/(9-COUNTIF(B95:J95,"not_applicable"))))</x:f>
      </x:c>
      <x:c r="L95" s="41"/>
      <x:c r="M95" s="41"/>
      <x:c r="N95" s="43"/>
    </x:row>
    <x:row r="96">
      <x:c r="A96" s="44"/>
      <x:c r="B96" s="41"/>
      <x:c r="C96" s="41"/>
      <x:c r="D96" s="41"/>
      <x:c r="E96" s="41"/>
      <x:c r="F96" s="41"/>
      <x:c r="G96" s="41"/>
      <x:c r="H96" s="41"/>
      <x:c r="I96" s="41"/>
      <x:c r="J96" s="41"/>
      <x:c r="K96" s="45" t="str">
        <x:f>IF(COUNTA(B96:J96)=0,"",IF(9-COUNTIF(B96:J96,"not_applicable")=0,"",COUNTIF(B96:J96,"yes")/(9-COUNTIF(B96:J96,"not_applicable"))))</x:f>
      </x:c>
      <x:c r="L96" s="41"/>
      <x:c r="M96" s="41"/>
      <x:c r="N96" s="43"/>
    </x:row>
    <x:row r="97">
      <x:c r="A97" s="44"/>
      <x:c r="B97" s="41"/>
      <x:c r="C97" s="41"/>
      <x:c r="D97" s="41"/>
      <x:c r="E97" s="41"/>
      <x:c r="F97" s="41"/>
      <x:c r="G97" s="41"/>
      <x:c r="H97" s="41"/>
      <x:c r="I97" s="41"/>
      <x:c r="J97" s="41"/>
      <x:c r="K97" s="45" t="str">
        <x:f>IF(COUNTA(B97:J97)=0,"",IF(9-COUNTIF(B97:J97,"not_applicable")=0,"",COUNTIF(B97:J97,"yes")/(9-COUNTIF(B97:J97,"not_applicable"))))</x:f>
      </x:c>
      <x:c r="L97" s="41"/>
      <x:c r="M97" s="41"/>
      <x:c r="N97" s="43"/>
    </x:row>
    <x:row r="98">
      <x:c r="A98" s="44"/>
      <x:c r="B98" s="41"/>
      <x:c r="C98" s="41"/>
      <x:c r="D98" s="41"/>
      <x:c r="E98" s="41"/>
      <x:c r="F98" s="41"/>
      <x:c r="G98" s="41"/>
      <x:c r="H98" s="41"/>
      <x:c r="I98" s="41"/>
      <x:c r="J98" s="41"/>
      <x:c r="K98" s="45" t="str">
        <x:f>IF(COUNTA(B98:J98)=0,"",IF(9-COUNTIF(B98:J98,"not_applicable")=0,"",COUNTIF(B98:J98,"yes")/(9-COUNTIF(B98:J98,"not_applicable"))))</x:f>
      </x:c>
      <x:c r="L98" s="41"/>
      <x:c r="M98" s="41"/>
      <x:c r="N98" s="43"/>
    </x:row>
    <x:row r="99">
      <x:c r="A99" s="44"/>
      <x:c r="B99" s="41"/>
      <x:c r="C99" s="41"/>
      <x:c r="D99" s="41"/>
      <x:c r="E99" s="41"/>
      <x:c r="F99" s="41"/>
      <x:c r="G99" s="41"/>
      <x:c r="H99" s="41"/>
      <x:c r="I99" s="41"/>
      <x:c r="J99" s="41"/>
      <x:c r="K99" s="45" t="str">
        <x:f>IF(COUNTA(B99:J99)=0,"",IF(9-COUNTIF(B99:J99,"not_applicable")=0,"",COUNTIF(B99:J99,"yes")/(9-COUNTIF(B99:J99,"not_applicable"))))</x:f>
      </x:c>
      <x:c r="L99" s="41"/>
      <x:c r="M99" s="41"/>
      <x:c r="N99" s="43"/>
    </x:row>
    <x:row r="100">
      <x:c r="A100" s="44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5" t="str">
        <x:f>IF(COUNTA(B100:J100)=0,"",IF(9-COUNTIF(B100:J100,"not_applicable")=0,"",COUNTIF(B100:J100,"yes")/(9-COUNTIF(B100:J100,"not_applicable"))))</x:f>
      </x:c>
      <x:c r="L100" s="41"/>
      <x:c r="M100" s="41"/>
      <x:c r="N100" s="43"/>
    </x:row>
    <x:row r="101">
      <x:c r="A101" s="44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5" t="str">
        <x:f>IF(COUNTA(B101:J101)=0,"",IF(9-COUNTIF(B101:J101,"not_applicable")=0,"",COUNTIF(B101:J101,"yes")/(9-COUNTIF(B101:J101,"not_applicable"))))</x:f>
      </x:c>
      <x:c r="L101" s="41"/>
      <x:c r="M101" s="41"/>
      <x:c r="N101" s="43"/>
    </x:row>
    <x:row r="102">
      <x:c r="A102" s="44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5" t="str">
        <x:f>IF(COUNTA(B102:J102)=0,"",IF(9-COUNTIF(B102:J102,"not_applicable")=0,"",COUNTIF(B102:J102,"yes")/(9-COUNTIF(B102:J102,"not_applicable"))))</x:f>
      </x:c>
      <x:c r="L102" s="41"/>
      <x:c r="M102" s="41"/>
      <x:c r="N102" s="43"/>
    </x:row>
    <x:row r="103">
      <x:c r="A103" s="44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5" t="str">
        <x:f>IF(COUNTA(B103:J103)=0,"",IF(9-COUNTIF(B103:J103,"not_applicable")=0,"",COUNTIF(B103:J103,"yes")/(9-COUNTIF(B103:J103,"not_applicable"))))</x:f>
      </x:c>
      <x:c r="L103" s="41"/>
      <x:c r="M103" s="41"/>
      <x:c r="N103" s="43"/>
    </x:row>
    <x:row r="104">
      <x:c r="A104" s="44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5" t="str">
        <x:f>IF(COUNTA(B104:J104)=0,"",IF(9-COUNTIF(B104:J104,"not_applicable")=0,"",COUNTIF(B104:J104,"yes")/(9-COUNTIF(B104:J104,"not_applicable"))))</x:f>
      </x:c>
      <x:c r="L104" s="41"/>
      <x:c r="M104" s="41"/>
      <x:c r="N104" s="43"/>
    </x:row>
    <x:row r="105">
      <x:c r="A105" s="44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5" t="str">
        <x:f>IF(COUNTA(B105:J105)=0,"",IF(9-COUNTIF(B105:J105,"not_applicable")=0,"",COUNTIF(B105:J105,"yes")/(9-COUNTIF(B105:J105,"not_applicable"))))</x:f>
      </x:c>
      <x:c r="L105" s="41"/>
      <x:c r="M105" s="41"/>
      <x:c r="N105" s="43"/>
    </x:row>
    <x:row r="106">
      <x:c r="A106" s="44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5" t="str">
        <x:f>IF(COUNTA(B106:J106)=0,"",IF(9-COUNTIF(B106:J106,"not_applicable")=0,"",COUNTIF(B106:J106,"yes")/(9-COUNTIF(B106:J106,"not_applicable"))))</x:f>
      </x:c>
      <x:c r="L106" s="41"/>
      <x:c r="M106" s="41"/>
      <x:c r="N106" s="43"/>
    </x:row>
    <x:row r="107">
      <x:c r="A107" s="44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5" t="str">
        <x:f>IF(COUNTA(B107:J107)=0,"",IF(9-COUNTIF(B107:J107,"not_applicable")=0,"",COUNTIF(B107:J107,"yes")/(9-COUNTIF(B107:J107,"not_applicable"))))</x:f>
      </x:c>
      <x:c r="L107" s="41"/>
      <x:c r="M107" s="41"/>
      <x:c r="N107" s="43"/>
    </x:row>
    <x:row r="108">
      <x:c r="A108" s="44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5" t="str">
        <x:f>IF(COUNTA(B108:J108)=0,"",IF(9-COUNTIF(B108:J108,"not_applicable")=0,"",COUNTIF(B108:J108,"yes")/(9-COUNTIF(B108:J108,"not_applicable"))))</x:f>
      </x:c>
      <x:c r="L108" s="41"/>
      <x:c r="M108" s="41"/>
      <x:c r="N108" s="43"/>
    </x:row>
    <x:row r="109">
      <x:c r="A109" s="44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5" t="str">
        <x:f>IF(COUNTA(B109:J109)=0,"",IF(9-COUNTIF(B109:J109,"not_applicable")=0,"",COUNTIF(B109:J109,"yes")/(9-COUNTIF(B109:J109,"not_applicable"))))</x:f>
      </x:c>
      <x:c r="L109" s="41"/>
      <x:c r="M109" s="41"/>
      <x:c r="N109" s="43"/>
    </x:row>
    <x:row r="110">
      <x:c r="A110" s="44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5" t="str">
        <x:f>IF(COUNTA(B110:J110)=0,"",IF(9-COUNTIF(B110:J110,"not_applicable")=0,"",COUNTIF(B110:J110,"yes")/(9-COUNTIF(B110:J110,"not_applicable"))))</x:f>
      </x:c>
      <x:c r="L110" s="41"/>
      <x:c r="M110" s="41"/>
      <x:c r="N110" s="43"/>
    </x:row>
    <x:row r="111">
      <x:c r="A111" s="44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5" t="str">
        <x:f>IF(COUNTA(B111:J111)=0,"",IF(9-COUNTIF(B111:J111,"not_applicable")=0,"",COUNTIF(B111:J111,"yes")/(9-COUNTIF(B111:J111,"not_applicable"))))</x:f>
      </x:c>
      <x:c r="L111" s="41"/>
      <x:c r="M111" s="41"/>
      <x:c r="N111" s="43"/>
    </x:row>
    <x:row r="112">
      <x:c r="A112" s="44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5" t="str">
        <x:f>IF(COUNTA(B112:J112)=0,"",IF(9-COUNTIF(B112:J112,"not_applicable")=0,"",COUNTIF(B112:J112,"yes")/(9-COUNTIF(B112:J112,"not_applicable"))))</x:f>
      </x:c>
      <x:c r="L112" s="41"/>
      <x:c r="M112" s="41"/>
      <x:c r="N112" s="43"/>
    </x:row>
    <x:row r="113">
      <x:c r="A113" s="44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5" t="str">
        <x:f>IF(COUNTA(B113:J113)=0,"",IF(9-COUNTIF(B113:J113,"not_applicable")=0,"",COUNTIF(B113:J113,"yes")/(9-COUNTIF(B113:J113,"not_applicable"))))</x:f>
      </x:c>
      <x:c r="L113" s="41"/>
      <x:c r="M113" s="41"/>
      <x:c r="N113" s="43"/>
    </x:row>
    <x:row r="114">
      <x:c r="A114" s="44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5" t="str">
        <x:f>IF(COUNTA(B114:J114)=0,"",IF(9-COUNTIF(B114:J114,"not_applicable")=0,"",COUNTIF(B114:J114,"yes")/(9-COUNTIF(B114:J114,"not_applicable"))))</x:f>
      </x:c>
      <x:c r="L114" s="41"/>
      <x:c r="M114" s="41"/>
      <x:c r="N114" s="43"/>
    </x:row>
    <x:row r="115">
      <x:c r="A115" s="44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5" t="str">
        <x:f>IF(COUNTA(B115:J115)=0,"",IF(9-COUNTIF(B115:J115,"not_applicable")=0,"",COUNTIF(B115:J115,"yes")/(9-COUNTIF(B115:J115,"not_applicable"))))</x:f>
      </x:c>
      <x:c r="L115" s="41"/>
      <x:c r="M115" s="41"/>
      <x:c r="N115" s="43"/>
    </x:row>
    <x:row r="116">
      <x:c r="A116" s="44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5" t="str">
        <x:f>IF(COUNTA(B116:J116)=0,"",IF(9-COUNTIF(B116:J116,"not_applicable")=0,"",COUNTIF(B116:J116,"yes")/(9-COUNTIF(B116:J116,"not_applicable"))))</x:f>
      </x:c>
      <x:c r="L116" s="41"/>
      <x:c r="M116" s="41"/>
      <x:c r="N116" s="43"/>
    </x:row>
    <x:row r="117">
      <x:c r="A117" s="44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5" t="str">
        <x:f>IF(COUNTA(B117:J117)=0,"",IF(9-COUNTIF(B117:J117,"not_applicable")=0,"",COUNTIF(B117:J117,"yes")/(9-COUNTIF(B117:J117,"not_applicable"))))</x:f>
      </x:c>
      <x:c r="L117" s="41"/>
      <x:c r="M117" s="41"/>
      <x:c r="N117" s="43"/>
    </x:row>
    <x:row r="118">
      <x:c r="A118" s="44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5" t="str">
        <x:f>IF(COUNTA(B118:J118)=0,"",IF(9-COUNTIF(B118:J118,"not_applicable")=0,"",COUNTIF(B118:J118,"yes")/(9-COUNTIF(B118:J118,"not_applicable"))))</x:f>
      </x:c>
      <x:c r="L118" s="41"/>
      <x:c r="M118" s="41"/>
      <x:c r="N118" s="43"/>
    </x:row>
    <x:row r="119">
      <x:c r="A119" s="44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5" t="str">
        <x:f>IF(COUNTA(B119:J119)=0,"",IF(9-COUNTIF(B119:J119,"not_applicable")=0,"",COUNTIF(B119:J119,"yes")/(9-COUNTIF(B119:J119,"not_applicable"))))</x:f>
      </x:c>
      <x:c r="L119" s="41"/>
      <x:c r="M119" s="41"/>
      <x:c r="N119" s="43"/>
    </x:row>
    <x:row r="120">
      <x:c r="A120" s="44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5" t="str">
        <x:f>IF(COUNTA(B120:J120)=0,"",IF(9-COUNTIF(B120:J120,"not_applicable")=0,"",COUNTIF(B120:J120,"yes")/(9-COUNTIF(B120:J120,"not_applicable"))))</x:f>
      </x:c>
      <x:c r="L120" s="41"/>
      <x:c r="M120" s="41"/>
      <x:c r="N120" s="43"/>
    </x:row>
    <x:row r="121">
      <x:c r="A121" s="44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5" t="str">
        <x:f>IF(COUNTA(B121:J121)=0,"",IF(9-COUNTIF(B121:J121,"not_applicable")=0,"",COUNTIF(B121:J121,"yes")/(9-COUNTIF(B121:J121,"not_applicable"))))</x:f>
      </x:c>
      <x:c r="L121" s="41"/>
      <x:c r="M121" s="41"/>
      <x:c r="N121" s="43"/>
    </x:row>
    <x:row r="122">
      <x:c r="A122" s="44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5" t="str">
        <x:f>IF(COUNTA(B122:J122)=0,"",IF(9-COUNTIF(B122:J122,"not_applicable")=0,"",COUNTIF(B122:J122,"yes")/(9-COUNTIF(B122:J122,"not_applicable"))))</x:f>
      </x:c>
      <x:c r="L122" s="41"/>
      <x:c r="M122" s="41"/>
      <x:c r="N122" s="43"/>
    </x:row>
    <x:row r="123">
      <x:c r="A123" s="44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5" t="str">
        <x:f>IF(COUNTA(B123:J123)=0,"",IF(9-COUNTIF(B123:J123,"not_applicable")=0,"",COUNTIF(B123:J123,"yes")/(9-COUNTIF(B123:J123,"not_applicable"))))</x:f>
      </x:c>
      <x:c r="L123" s="41"/>
      <x:c r="M123" s="41"/>
      <x:c r="N123" s="43"/>
    </x:row>
    <x:row r="124">
      <x:c r="A124" s="44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5" t="str">
        <x:f>IF(COUNTA(B124:J124)=0,"",IF(9-COUNTIF(B124:J124,"not_applicable")=0,"",COUNTIF(B124:J124,"yes")/(9-COUNTIF(B124:J124,"not_applicable"))))</x:f>
      </x:c>
      <x:c r="L124" s="41"/>
      <x:c r="M124" s="41"/>
      <x:c r="N124" s="43"/>
    </x:row>
    <x:row r="125">
      <x:c r="A125" s="44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5" t="str">
        <x:f>IF(COUNTA(B125:J125)=0,"",IF(9-COUNTIF(B125:J125,"not_applicable")=0,"",COUNTIF(B125:J125,"yes")/(9-COUNTIF(B125:J125,"not_applicable"))))</x:f>
      </x:c>
      <x:c r="L125" s="41"/>
      <x:c r="M125" s="41"/>
      <x:c r="N125" s="43"/>
    </x:row>
    <x:row r="126">
      <x:c r="A126" s="44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5" t="str">
        <x:f>IF(COUNTA(B126:J126)=0,"",IF(9-COUNTIF(B126:J126,"not_applicable")=0,"",COUNTIF(B126:J126,"yes")/(9-COUNTIF(B126:J126,"not_applicable"))))</x:f>
      </x:c>
      <x:c r="L126" s="41"/>
      <x:c r="M126" s="41"/>
      <x:c r="N126" s="43"/>
    </x:row>
    <x:row r="127">
      <x:c r="A127" s="44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5" t="str">
        <x:f>IF(COUNTA(B127:J127)=0,"",IF(9-COUNTIF(B127:J127,"not_applicable")=0,"",COUNTIF(B127:J127,"yes")/(9-COUNTIF(B127:J127,"not_applicable"))))</x:f>
      </x:c>
      <x:c r="L127" s="41"/>
      <x:c r="M127" s="41"/>
      <x:c r="N127" s="43"/>
    </x:row>
    <x:row r="128">
      <x:c r="A128" s="44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5" t="str">
        <x:f>IF(COUNTA(B128:J128)=0,"",IF(9-COUNTIF(B128:J128,"not_applicable")=0,"",COUNTIF(B128:J128,"yes")/(9-COUNTIF(B128:J128,"not_applicable"))))</x:f>
      </x:c>
      <x:c r="L128" s="41"/>
      <x:c r="M128" s="41"/>
      <x:c r="N128" s="43"/>
    </x:row>
    <x:row r="129">
      <x:c r="A129" s="44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5" t="str">
        <x:f>IF(COUNTA(B129:J129)=0,"",IF(9-COUNTIF(B129:J129,"not_applicable")=0,"",COUNTIF(B129:J129,"yes")/(9-COUNTIF(B129:J129,"not_applicable"))))</x:f>
      </x:c>
      <x:c r="L129" s="41"/>
      <x:c r="M129" s="41"/>
      <x:c r="N129" s="43"/>
    </x:row>
    <x:row r="130">
      <x:c r="A130" s="44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5" t="str">
        <x:f>IF(COUNTA(B130:J130)=0,"",IF(9-COUNTIF(B130:J130,"not_applicable")=0,"",COUNTIF(B130:J130,"yes")/(9-COUNTIF(B130:J130,"not_applicable"))))</x:f>
      </x:c>
      <x:c r="L130" s="41"/>
      <x:c r="M130" s="41"/>
      <x:c r="N130" s="43"/>
    </x:row>
    <x:row r="131">
      <x:c r="A131" s="44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5" t="str">
        <x:f>IF(COUNTA(B131:J131)=0,"",IF(9-COUNTIF(B131:J131,"not_applicable")=0,"",COUNTIF(B131:J131,"yes")/(9-COUNTIF(B131:J131,"not_applicable"))))</x:f>
      </x:c>
      <x:c r="L131" s="41"/>
      <x:c r="M131" s="41"/>
      <x:c r="N131" s="43"/>
    </x:row>
    <x:row r="132">
      <x:c r="A132" s="44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5" t="str">
        <x:f>IF(COUNTA(B132:J132)=0,"",IF(9-COUNTIF(B132:J132,"not_applicable")=0,"",COUNTIF(B132:J132,"yes")/(9-COUNTIF(B132:J132,"not_applicable"))))</x:f>
      </x:c>
      <x:c r="L132" s="41"/>
      <x:c r="M132" s="41"/>
      <x:c r="N132" s="43"/>
    </x:row>
    <x:row r="133">
      <x:c r="A133" s="44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5" t="str">
        <x:f>IF(COUNTA(B133:J133)=0,"",IF(9-COUNTIF(B133:J133,"not_applicable")=0,"",COUNTIF(B133:J133,"yes")/(9-COUNTIF(B133:J133,"not_applicable"))))</x:f>
      </x:c>
      <x:c r="L133" s="41"/>
      <x:c r="M133" s="41"/>
      <x:c r="N133" s="43"/>
    </x:row>
    <x:row r="134">
      <x:c r="A134" s="44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5" t="str">
        <x:f>IF(COUNTA(B134:J134)=0,"",IF(9-COUNTIF(B134:J134,"not_applicable")=0,"",COUNTIF(B134:J134,"yes")/(9-COUNTIF(B134:J134,"not_applicable"))))</x:f>
      </x:c>
      <x:c r="L134" s="41"/>
      <x:c r="M134" s="41"/>
      <x:c r="N134" s="43"/>
    </x:row>
    <x:row r="135">
      <x:c r="A135" s="44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5" t="str">
        <x:f>IF(COUNTA(B135:J135)=0,"",IF(9-COUNTIF(B135:J135,"not_applicable")=0,"",COUNTIF(B135:J135,"yes")/(9-COUNTIF(B135:J135,"not_applicable"))))</x:f>
      </x:c>
      <x:c r="L135" s="41"/>
      <x:c r="M135" s="41"/>
      <x:c r="N135" s="43"/>
    </x:row>
    <x:row r="136">
      <x:c r="A136" s="44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5" t="str">
        <x:f>IF(COUNTA(B136:J136)=0,"",IF(9-COUNTIF(B136:J136,"not_applicable")=0,"",COUNTIF(B136:J136,"yes")/(9-COUNTIF(B136:J136,"not_applicable"))))</x:f>
      </x:c>
      <x:c r="L136" s="41"/>
      <x:c r="M136" s="41"/>
      <x:c r="N136" s="43"/>
    </x:row>
    <x:row r="137">
      <x:c r="A137" s="44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5" t="str">
        <x:f>IF(COUNTA(B137:J137)=0,"",IF(9-COUNTIF(B137:J137,"not_applicable")=0,"",COUNTIF(B137:J137,"yes")/(9-COUNTIF(B137:J137,"not_applicable"))))</x:f>
      </x:c>
      <x:c r="L137" s="41"/>
      <x:c r="M137" s="41"/>
      <x:c r="N137" s="43"/>
    </x:row>
    <x:row r="138">
      <x:c r="A138" s="44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5" t="str">
        <x:f>IF(COUNTA(B138:J138)=0,"",IF(9-COUNTIF(B138:J138,"not_applicable")=0,"",COUNTIF(B138:J138,"yes")/(9-COUNTIF(B138:J138,"not_applicable"))))</x:f>
      </x:c>
      <x:c r="L138" s="41"/>
      <x:c r="M138" s="41"/>
      <x:c r="N138" s="43"/>
    </x:row>
    <x:row r="139">
      <x:c r="A139" s="44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5" t="str">
        <x:f>IF(COUNTA(B139:J139)=0,"",IF(9-COUNTIF(B139:J139,"not_applicable")=0,"",COUNTIF(B139:J139,"yes")/(9-COUNTIF(B139:J139,"not_applicable"))))</x:f>
      </x:c>
      <x:c r="L139" s="41"/>
      <x:c r="M139" s="41"/>
      <x:c r="N139" s="43"/>
    </x:row>
    <x:row r="140">
      <x:c r="A140" s="44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5" t="str">
        <x:f>IF(COUNTA(B140:J140)=0,"",IF(9-COUNTIF(B140:J140,"not_applicable")=0,"",COUNTIF(B140:J140,"yes")/(9-COUNTIF(B140:J140,"not_applicable"))))</x:f>
      </x:c>
      <x:c r="L140" s="41"/>
      <x:c r="M140" s="41"/>
      <x:c r="N140" s="43"/>
    </x:row>
    <x:row r="141">
      <x:c r="A141" s="44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5" t="str">
        <x:f>IF(COUNTA(B141:J141)=0,"",IF(9-COUNTIF(B141:J141,"not_applicable")=0,"",COUNTIF(B141:J141,"yes")/(9-COUNTIF(B141:J141,"not_applicable"))))</x:f>
      </x:c>
      <x:c r="L141" s="41"/>
      <x:c r="M141" s="41"/>
      <x:c r="N141" s="43"/>
    </x:row>
    <x:row r="142">
      <x:c r="A142" s="44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5" t="str">
        <x:f>IF(COUNTA(B142:J142)=0,"",IF(9-COUNTIF(B142:J142,"not_applicable")=0,"",COUNTIF(B142:J142,"yes")/(9-COUNTIF(B142:J142,"not_applicable"))))</x:f>
      </x:c>
      <x:c r="L142" s="41"/>
      <x:c r="M142" s="41"/>
      <x:c r="N142" s="43"/>
    </x:row>
    <x:row r="143">
      <x:c r="A143" s="44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5" t="str">
        <x:f>IF(COUNTA(B143:J143)=0,"",IF(9-COUNTIF(B143:J143,"not_applicable")=0,"",COUNTIF(B143:J143,"yes")/(9-COUNTIF(B143:J143,"not_applicable"))))</x:f>
      </x:c>
      <x:c r="L143" s="41"/>
      <x:c r="M143" s="41"/>
      <x:c r="N143" s="43"/>
    </x:row>
    <x:row r="144">
      <x:c r="A144" s="44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5" t="str">
        <x:f>IF(COUNTA(B144:J144)=0,"",IF(9-COUNTIF(B144:J144,"not_applicable")=0,"",COUNTIF(B144:J144,"yes")/(9-COUNTIF(B144:J144,"not_applicable"))))</x:f>
      </x:c>
      <x:c r="L144" s="41"/>
      <x:c r="M144" s="41"/>
      <x:c r="N144" s="43"/>
    </x:row>
    <x:row r="145">
      <x:c r="A145" s="44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5" t="str">
        <x:f>IF(COUNTA(B145:J145)=0,"",IF(9-COUNTIF(B145:J145,"not_applicable")=0,"",COUNTIF(B145:J145,"yes")/(9-COUNTIF(B145:J145,"not_applicable"))))</x:f>
      </x:c>
      <x:c r="L145" s="41"/>
      <x:c r="M145" s="41"/>
      <x:c r="N145" s="43"/>
    </x:row>
    <x:row r="146">
      <x:c r="A146" s="44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5" t="str">
        <x:f>IF(COUNTA(B146:J146)=0,"",IF(9-COUNTIF(B146:J146,"not_applicable")=0,"",COUNTIF(B146:J146,"yes")/(9-COUNTIF(B146:J146,"not_applicable"))))</x:f>
      </x:c>
      <x:c r="L146" s="41"/>
      <x:c r="M146" s="41"/>
      <x:c r="N146" s="43"/>
    </x:row>
    <x:row r="147">
      <x:c r="A147" s="44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5" t="str">
        <x:f>IF(COUNTA(B147:J147)=0,"",IF(9-COUNTIF(B147:J147,"not_applicable")=0,"",COUNTIF(B147:J147,"yes")/(9-COUNTIF(B147:J147,"not_applicable"))))</x:f>
      </x:c>
      <x:c r="L147" s="41"/>
      <x:c r="M147" s="41"/>
      <x:c r="N147" s="43"/>
    </x:row>
    <x:row r="148">
      <x:c r="A148" s="44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5" t="str">
        <x:f>IF(COUNTA(B148:J148)=0,"",IF(9-COUNTIF(B148:J148,"not_applicable")=0,"",COUNTIF(B148:J148,"yes")/(9-COUNTIF(B148:J148,"not_applicable"))))</x:f>
      </x:c>
      <x:c r="L148" s="41"/>
      <x:c r="M148" s="41"/>
      <x:c r="N148" s="43"/>
    </x:row>
    <x:row r="149">
      <x:c r="A149" s="44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5" t="str">
        <x:f>IF(COUNTA(B149:J149)=0,"",IF(9-COUNTIF(B149:J149,"not_applicable")=0,"",COUNTIF(B149:J149,"yes")/(9-COUNTIF(B149:J149,"not_applicable"))))</x:f>
      </x:c>
      <x:c r="L149" s="41"/>
      <x:c r="M149" s="41"/>
      <x:c r="N149" s="43"/>
    </x:row>
    <x:row r="150">
      <x:c r="A150" s="44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5" t="str">
        <x:f>IF(COUNTA(B150:J150)=0,"",IF(9-COUNTIF(B150:J150,"not_applicable")=0,"",COUNTIF(B150:J150,"yes")/(9-COUNTIF(B150:J150,"not_applicable"))))</x:f>
      </x:c>
      <x:c r="L150" s="41"/>
      <x:c r="M150" s="41"/>
      <x:c r="N150" s="43"/>
    </x:row>
    <x:row r="151">
      <x:c r="A151" s="44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5" t="str">
        <x:f>IF(COUNTA(B151:J151)=0,"",IF(9-COUNTIF(B151:J151,"not_applicable")=0,"",COUNTIF(B151:J151,"yes")/(9-COUNTIF(B151:J151,"not_applicable"))))</x:f>
      </x:c>
      <x:c r="L151" s="41"/>
      <x:c r="M151" s="41"/>
      <x:c r="N151" s="43"/>
    </x:row>
    <x:row r="152">
      <x:c r="A152" s="44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5" t="str">
        <x:f>IF(COUNTA(B152:J152)=0,"",IF(9-COUNTIF(B152:J152,"not_applicable")=0,"",COUNTIF(B152:J152,"yes")/(9-COUNTIF(B152:J152,"not_applicable"))))</x:f>
      </x:c>
      <x:c r="L152" s="41"/>
      <x:c r="M152" s="41"/>
      <x:c r="N152" s="43"/>
    </x:row>
    <x:row r="153">
      <x:c r="A153" s="44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5" t="str">
        <x:f>IF(COUNTA(B153:J153)=0,"",IF(9-COUNTIF(B153:J153,"not_applicable")=0,"",COUNTIF(B153:J153,"yes")/(9-COUNTIF(B153:J153,"not_applicable"))))</x:f>
      </x:c>
      <x:c r="L153" s="41"/>
      <x:c r="M153" s="41"/>
      <x:c r="N153" s="43"/>
    </x:row>
    <x:row r="154">
      <x:c r="A154" s="44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5" t="str">
        <x:f>IF(COUNTA(B154:J154)=0,"",IF(9-COUNTIF(B154:J154,"not_applicable")=0,"",COUNTIF(B154:J154,"yes")/(9-COUNTIF(B154:J154,"not_applicable"))))</x:f>
      </x:c>
      <x:c r="L154" s="41"/>
      <x:c r="M154" s="41"/>
      <x:c r="N154" s="43"/>
    </x:row>
    <x:row r="155">
      <x:c r="A155" s="44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5" t="str">
        <x:f>IF(COUNTA(B155:J155)=0,"",IF(9-COUNTIF(B155:J155,"not_applicable")=0,"",COUNTIF(B155:J155,"yes")/(9-COUNTIF(B155:J155,"not_applicable"))))</x:f>
      </x:c>
      <x:c r="L155" s="41"/>
      <x:c r="M155" s="41"/>
      <x:c r="N155" s="43"/>
    </x:row>
    <x:row r="156">
      <x:c r="A156" s="44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5" t="str">
        <x:f>IF(COUNTA(B156:J156)=0,"",IF(9-COUNTIF(B156:J156,"not_applicable")=0,"",COUNTIF(B156:J156,"yes")/(9-COUNTIF(B156:J156,"not_applicable"))))</x:f>
      </x:c>
      <x:c r="L156" s="41"/>
      <x:c r="M156" s="41"/>
      <x:c r="N156" s="43"/>
    </x:row>
    <x:row r="157">
      <x:c r="A157" s="44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5" t="str">
        <x:f>IF(COUNTA(B157:J157)=0,"",IF(9-COUNTIF(B157:J157,"not_applicable")=0,"",COUNTIF(B157:J157,"yes")/(9-COUNTIF(B157:J157,"not_applicable"))))</x:f>
      </x:c>
      <x:c r="L157" s="41"/>
      <x:c r="M157" s="41"/>
      <x:c r="N157" s="43"/>
    </x:row>
    <x:row r="158">
      <x:c r="A158" s="44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5" t="str">
        <x:f>IF(COUNTA(B158:J158)=0,"",IF(9-COUNTIF(B158:J158,"not_applicable")=0,"",COUNTIF(B158:J158,"yes")/(9-COUNTIF(B158:J158,"not_applicable"))))</x:f>
      </x:c>
      <x:c r="L158" s="41"/>
      <x:c r="M158" s="41"/>
      <x:c r="N158" s="43"/>
    </x:row>
    <x:row r="159">
      <x:c r="A159" s="44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5" t="str">
        <x:f>IF(COUNTA(B159:J159)=0,"",IF(9-COUNTIF(B159:J159,"not_applicable")=0,"",COUNTIF(B159:J159,"yes")/(9-COUNTIF(B159:J159,"not_applicable"))))</x:f>
      </x:c>
      <x:c r="L159" s="41"/>
      <x:c r="M159" s="41"/>
      <x:c r="N159" s="43"/>
    </x:row>
    <x:row r="160">
      <x:c r="A160" s="44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5" t="str">
        <x:f>IF(COUNTA(B160:J160)=0,"",IF(9-COUNTIF(B160:J160,"not_applicable")=0,"",COUNTIF(B160:J160,"yes")/(9-COUNTIF(B160:J160,"not_applicable"))))</x:f>
      </x:c>
      <x:c r="L160" s="41"/>
      <x:c r="M160" s="41"/>
      <x:c r="N160" s="43"/>
    </x:row>
    <x:row r="161">
      <x:c r="A161" s="44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5" t="str">
        <x:f>IF(COUNTA(B161:J161)=0,"",IF(9-COUNTIF(B161:J161,"not_applicable")=0,"",COUNTIF(B161:J161,"yes")/(9-COUNTIF(B161:J161,"not_applicable"))))</x:f>
      </x:c>
      <x:c r="L161" s="41"/>
      <x:c r="M161" s="41"/>
      <x:c r="N161" s="43"/>
    </x:row>
    <x:row r="162">
      <x:c r="A162" s="44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5" t="str">
        <x:f>IF(COUNTA(B162:J162)=0,"",IF(9-COUNTIF(B162:J162,"not_applicable")=0,"",COUNTIF(B162:J162,"yes")/(9-COUNTIF(B162:J162,"not_applicable"))))</x:f>
      </x:c>
      <x:c r="L162" s="41"/>
      <x:c r="M162" s="41"/>
      <x:c r="N162" s="43"/>
    </x:row>
    <x:row r="163">
      <x:c r="A163" s="44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5" t="str">
        <x:f>IF(COUNTA(B163:J163)=0,"",IF(9-COUNTIF(B163:J163,"not_applicable")=0,"",COUNTIF(B163:J163,"yes")/(9-COUNTIF(B163:J163,"not_applicable"))))</x:f>
      </x:c>
      <x:c r="L163" s="41"/>
      <x:c r="M163" s="41"/>
      <x:c r="N163" s="43"/>
    </x:row>
    <x:row r="164">
      <x:c r="A164" s="44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5" t="str">
        <x:f>IF(COUNTA(B164:J164)=0,"",IF(9-COUNTIF(B164:J164,"not_applicable")=0,"",COUNTIF(B164:J164,"yes")/(9-COUNTIF(B164:J164,"not_applicable"))))</x:f>
      </x:c>
      <x:c r="L164" s="41"/>
      <x:c r="M164" s="41"/>
      <x:c r="N164" s="43"/>
    </x:row>
    <x:row r="165">
      <x:c r="A165" s="44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5" t="str">
        <x:f>IF(COUNTA(B165:J165)=0,"",IF(9-COUNTIF(B165:J165,"not_applicable")=0,"",COUNTIF(B165:J165,"yes")/(9-COUNTIF(B165:J165,"not_applicable"))))</x:f>
      </x:c>
      <x:c r="L165" s="41"/>
      <x:c r="M165" s="41"/>
      <x:c r="N165" s="43"/>
    </x:row>
    <x:row r="166">
      <x:c r="A166" s="44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5" t="str">
        <x:f>IF(COUNTA(B166:J166)=0,"",IF(9-COUNTIF(B166:J166,"not_applicable")=0,"",COUNTIF(B166:J166,"yes")/(9-COUNTIF(B166:J166,"not_applicable"))))</x:f>
      </x:c>
      <x:c r="L166" s="41"/>
      <x:c r="M166" s="41"/>
      <x:c r="N166" s="43"/>
    </x:row>
    <x:row r="167">
      <x:c r="A167" s="44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5" t="str">
        <x:f>IF(COUNTA(B167:J167)=0,"",IF(9-COUNTIF(B167:J167,"not_applicable")=0,"",COUNTIF(B167:J167,"yes")/(9-COUNTIF(B167:J167,"not_applicable"))))</x:f>
      </x:c>
      <x:c r="L167" s="41"/>
      <x:c r="M167" s="41"/>
      <x:c r="N167" s="43"/>
    </x:row>
    <x:row r="168">
      <x:c r="A168" s="44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5" t="str">
        <x:f>IF(COUNTA(B168:J168)=0,"",IF(9-COUNTIF(B168:J168,"not_applicable")=0,"",COUNTIF(B168:J168,"yes")/(9-COUNTIF(B168:J168,"not_applicable"))))</x:f>
      </x:c>
      <x:c r="L168" s="41"/>
      <x:c r="M168" s="41"/>
      <x:c r="N168" s="43"/>
    </x:row>
    <x:row r="169">
      <x:c r="A169" s="44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5" t="str">
        <x:f>IF(COUNTA(B169:J169)=0,"",IF(9-COUNTIF(B169:J169,"not_applicable")=0,"",COUNTIF(B169:J169,"yes")/(9-COUNTIF(B169:J169,"not_applicable"))))</x:f>
      </x:c>
      <x:c r="L169" s="41"/>
      <x:c r="M169" s="41"/>
      <x:c r="N169" s="43"/>
    </x:row>
    <x:row r="170">
      <x:c r="A170" s="44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5" t="str">
        <x:f>IF(COUNTA(B170:J170)=0,"",IF(9-COUNTIF(B170:J170,"not_applicable")=0,"",COUNTIF(B170:J170,"yes")/(9-COUNTIF(B170:J170,"not_applicable"))))</x:f>
      </x:c>
      <x:c r="L170" s="41"/>
      <x:c r="M170" s="41"/>
      <x:c r="N170" s="43"/>
    </x:row>
    <x:row r="171">
      <x:c r="A171" s="44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5" t="str">
        <x:f>IF(COUNTA(B171:J171)=0,"",IF(9-COUNTIF(B171:J171,"not_applicable")=0,"",COUNTIF(B171:J171,"yes")/(9-COUNTIF(B171:J171,"not_applicable"))))</x:f>
      </x:c>
      <x:c r="L171" s="41"/>
      <x:c r="M171" s="41"/>
      <x:c r="N171" s="43"/>
    </x:row>
    <x:row r="172">
      <x:c r="A172" s="44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5" t="str">
        <x:f>IF(COUNTA(B172:J172)=0,"",IF(9-COUNTIF(B172:J172,"not_applicable")=0,"",COUNTIF(B172:J172,"yes")/(9-COUNTIF(B172:J172,"not_applicable"))))</x:f>
      </x:c>
      <x:c r="L172" s="41"/>
      <x:c r="M172" s="41"/>
      <x:c r="N172" s="43"/>
    </x:row>
    <x:row r="173">
      <x:c r="A173" s="44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5" t="str">
        <x:f>IF(COUNTA(B173:J173)=0,"",IF(9-COUNTIF(B173:J173,"not_applicable")=0,"",COUNTIF(B173:J173,"yes")/(9-COUNTIF(B173:J173,"not_applicable"))))</x:f>
      </x:c>
      <x:c r="L173" s="41"/>
      <x:c r="M173" s="41"/>
      <x:c r="N173" s="43"/>
    </x:row>
    <x:row r="174">
      <x:c r="A174" s="44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5" t="str">
        <x:f>IF(COUNTA(B174:J174)=0,"",IF(9-COUNTIF(B174:J174,"not_applicable")=0,"",COUNTIF(B174:J174,"yes")/(9-COUNTIF(B174:J174,"not_applicable"))))</x:f>
      </x:c>
      <x:c r="L174" s="41"/>
      <x:c r="M174" s="41"/>
      <x:c r="N174" s="43"/>
    </x:row>
    <x:row r="175">
      <x:c r="A175" s="44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5" t="str">
        <x:f>IF(COUNTA(B175:J175)=0,"",IF(9-COUNTIF(B175:J175,"not_applicable")=0,"",COUNTIF(B175:J175,"yes")/(9-COUNTIF(B175:J175,"not_applicable"))))</x:f>
      </x:c>
      <x:c r="L175" s="41"/>
      <x:c r="M175" s="41"/>
      <x:c r="N175" s="43"/>
    </x:row>
    <x:row r="176">
      <x:c r="A176" s="44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5" t="str">
        <x:f>IF(COUNTA(B176:J176)=0,"",IF(9-COUNTIF(B176:J176,"not_applicable")=0,"",COUNTIF(B176:J176,"yes")/(9-COUNTIF(B176:J176,"not_applicable"))))</x:f>
      </x:c>
      <x:c r="L176" s="41"/>
      <x:c r="M176" s="41"/>
      <x:c r="N176" s="43"/>
    </x:row>
    <x:row r="177">
      <x:c r="A177" s="44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5" t="str">
        <x:f>IF(COUNTA(B177:J177)=0,"",IF(9-COUNTIF(B177:J177,"not_applicable")=0,"",COUNTIF(B177:J177,"yes")/(9-COUNTIF(B177:J177,"not_applicable"))))</x:f>
      </x:c>
      <x:c r="L177" s="41"/>
      <x:c r="M177" s="41"/>
      <x:c r="N177" s="43"/>
    </x:row>
    <x:row r="178">
      <x:c r="A178" s="44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5" t="str">
        <x:f>IF(COUNTA(B178:J178)=0,"",IF(9-COUNTIF(B178:J178,"not_applicable")=0,"",COUNTIF(B178:J178,"yes")/(9-COUNTIF(B178:J178,"not_applicable"))))</x:f>
      </x:c>
      <x:c r="L178" s="41"/>
      <x:c r="M178" s="41"/>
      <x:c r="N178" s="43"/>
    </x:row>
    <x:row r="179">
      <x:c r="A179" s="44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5" t="str">
        <x:f>IF(COUNTA(B179:J179)=0,"",IF(9-COUNTIF(B179:J179,"not_applicable")=0,"",COUNTIF(B179:J179,"yes")/(9-COUNTIF(B179:J179,"not_applicable"))))</x:f>
      </x:c>
      <x:c r="L179" s="41"/>
      <x:c r="M179" s="41"/>
      <x:c r="N179" s="43"/>
    </x:row>
    <x:row r="180">
      <x:c r="A180" s="44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5" t="str">
        <x:f>IF(COUNTA(B180:J180)=0,"",IF(9-COUNTIF(B180:J180,"not_applicable")=0,"",COUNTIF(B180:J180,"yes")/(9-COUNTIF(B180:J180,"not_applicable"))))</x:f>
      </x:c>
      <x:c r="L180" s="41"/>
      <x:c r="M180" s="41"/>
      <x:c r="N180" s="43"/>
    </x:row>
    <x:row r="181">
      <x:c r="A181" s="44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5" t="str">
        <x:f>IF(COUNTA(B181:J181)=0,"",IF(9-COUNTIF(B181:J181,"not_applicable")=0,"",COUNTIF(B181:J181,"yes")/(9-COUNTIF(B181:J181,"not_applicable"))))</x:f>
      </x:c>
      <x:c r="L181" s="41"/>
      <x:c r="M181" s="41"/>
      <x:c r="N181" s="43"/>
    </x:row>
    <x:row r="182">
      <x:c r="A182" s="44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5" t="str">
        <x:f>IF(COUNTA(B182:J182)=0,"",IF(9-COUNTIF(B182:J182,"not_applicable")=0,"",COUNTIF(B182:J182,"yes")/(9-COUNTIF(B182:J182,"not_applicable"))))</x:f>
      </x:c>
      <x:c r="L182" s="41"/>
      <x:c r="M182" s="41"/>
      <x:c r="N182" s="43"/>
    </x:row>
    <x:row r="183">
      <x:c r="A183" s="44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5" t="str">
        <x:f>IF(COUNTA(B183:J183)=0,"",IF(9-COUNTIF(B183:J183,"not_applicable")=0,"",COUNTIF(B183:J183,"yes")/(9-COUNTIF(B183:J183,"not_applicable"))))</x:f>
      </x:c>
      <x:c r="L183" s="41"/>
      <x:c r="M183" s="41"/>
      <x:c r="N183" s="43"/>
    </x:row>
    <x:row r="184">
      <x:c r="A184" s="44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5" t="str">
        <x:f>IF(COUNTA(B184:J184)=0,"",IF(9-COUNTIF(B184:J184,"not_applicable")=0,"",COUNTIF(B184:J184,"yes")/(9-COUNTIF(B184:J184,"not_applicable"))))</x:f>
      </x:c>
      <x:c r="L184" s="41"/>
      <x:c r="M184" s="41"/>
      <x:c r="N184" s="43"/>
    </x:row>
    <x:row r="185">
      <x:c r="A185" s="44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5" t="str">
        <x:f>IF(COUNTA(B185:J185)=0,"",IF(9-COUNTIF(B185:J185,"not_applicable")=0,"",COUNTIF(B185:J185,"yes")/(9-COUNTIF(B185:J185,"not_applicable"))))</x:f>
      </x:c>
      <x:c r="L185" s="41"/>
      <x:c r="M185" s="41"/>
      <x:c r="N185" s="43"/>
    </x:row>
    <x:row r="186">
      <x:c r="A186" s="44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5" t="str">
        <x:f>IF(COUNTA(B186:J186)=0,"",IF(9-COUNTIF(B186:J186,"not_applicable")=0,"",COUNTIF(B186:J186,"yes")/(9-COUNTIF(B186:J186,"not_applicable"))))</x:f>
      </x:c>
      <x:c r="L186" s="41"/>
      <x:c r="M186" s="41"/>
      <x:c r="N186" s="43"/>
    </x:row>
    <x:row r="187">
      <x:c r="A187" s="44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5" t="str">
        <x:f>IF(COUNTA(B187:J187)=0,"",IF(9-COUNTIF(B187:J187,"not_applicable")=0,"",COUNTIF(B187:J187,"yes")/(9-COUNTIF(B187:J187,"not_applicable"))))</x:f>
      </x:c>
      <x:c r="L187" s="41"/>
      <x:c r="M187" s="41"/>
      <x:c r="N187" s="43"/>
    </x:row>
    <x:row r="188">
      <x:c r="A188" s="44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5" t="str">
        <x:f>IF(COUNTA(B188:J188)=0,"",IF(9-COUNTIF(B188:J188,"not_applicable")=0,"",COUNTIF(B188:J188,"yes")/(9-COUNTIF(B188:J188,"not_applicable"))))</x:f>
      </x:c>
      <x:c r="L188" s="41"/>
      <x:c r="M188" s="41"/>
      <x:c r="N188" s="43"/>
    </x:row>
    <x:row r="189">
      <x:c r="A189" s="44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5" t="str">
        <x:f>IF(COUNTA(B189:J189)=0,"",IF(9-COUNTIF(B189:J189,"not_applicable")=0,"",COUNTIF(B189:J189,"yes")/(9-COUNTIF(B189:J189,"not_applicable"))))</x:f>
      </x:c>
      <x:c r="L189" s="41"/>
      <x:c r="M189" s="41"/>
      <x:c r="N189" s="43"/>
    </x:row>
    <x:row r="190">
      <x:c r="A190" s="44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5" t="str">
        <x:f>IF(COUNTA(B190:J190)=0,"",IF(9-COUNTIF(B190:J190,"not_applicable")=0,"",COUNTIF(B190:J190,"yes")/(9-COUNTIF(B190:J190,"not_applicable"))))</x:f>
      </x:c>
      <x:c r="L190" s="41"/>
      <x:c r="M190" s="41"/>
      <x:c r="N190" s="43"/>
    </x:row>
    <x:row r="191">
      <x:c r="A191" s="44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5" t="str">
        <x:f>IF(COUNTA(B191:J191)=0,"",IF(9-COUNTIF(B191:J191,"not_applicable")=0,"",COUNTIF(B191:J191,"yes")/(9-COUNTIF(B191:J191,"not_applicable"))))</x:f>
      </x:c>
      <x:c r="L191" s="41"/>
      <x:c r="M191" s="41"/>
      <x:c r="N191" s="43"/>
    </x:row>
    <x:row r="192">
      <x:c r="A192" s="44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5" t="str">
        <x:f>IF(COUNTA(B192:J192)=0,"",IF(9-COUNTIF(B192:J192,"not_applicable")=0,"",COUNTIF(B192:J192,"yes")/(9-COUNTIF(B192:J192,"not_applicable"))))</x:f>
      </x:c>
      <x:c r="L192" s="41"/>
      <x:c r="M192" s="41"/>
      <x:c r="N192" s="43"/>
    </x:row>
    <x:row r="193">
      <x:c r="A193" s="44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5" t="str">
        <x:f>IF(COUNTA(B193:J193)=0,"",IF(9-COUNTIF(B193:J193,"not_applicable")=0,"",COUNTIF(B193:J193,"yes")/(9-COUNTIF(B193:J193,"not_applicable"))))</x:f>
      </x:c>
      <x:c r="L193" s="41"/>
      <x:c r="M193" s="41"/>
      <x:c r="N193" s="43"/>
    </x:row>
    <x:row r="194">
      <x:c r="A194" s="44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5" t="str">
        <x:f>IF(COUNTA(B194:J194)=0,"",IF(9-COUNTIF(B194:J194,"not_applicable")=0,"",COUNTIF(B194:J194,"yes")/(9-COUNTIF(B194:J194,"not_applicable"))))</x:f>
      </x:c>
      <x:c r="L194" s="41"/>
      <x:c r="M194" s="41"/>
      <x:c r="N194" s="43"/>
    </x:row>
    <x:row r="195">
      <x:c r="A195" s="44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5" t="str">
        <x:f>IF(COUNTA(B195:J195)=0,"",IF(9-COUNTIF(B195:J195,"not_applicable")=0,"",COUNTIF(B195:J195,"yes")/(9-COUNTIF(B195:J195,"not_applicable"))))</x:f>
      </x:c>
      <x:c r="L195" s="41"/>
      <x:c r="M195" s="41"/>
      <x:c r="N195" s="43"/>
    </x:row>
    <x:row r="196">
      <x:c r="A196" s="44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5" t="str">
        <x:f>IF(COUNTA(B196:J196)=0,"",IF(9-COUNTIF(B196:J196,"not_applicable")=0,"",COUNTIF(B196:J196,"yes")/(9-COUNTIF(B196:J196,"not_applicable"))))</x:f>
      </x:c>
      <x:c r="L196" s="41"/>
      <x:c r="M196" s="41"/>
      <x:c r="N196" s="43"/>
    </x:row>
    <x:row r="197">
      <x:c r="A197" s="44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5" t="str">
        <x:f>IF(COUNTA(B197:J197)=0,"",IF(9-COUNTIF(B197:J197,"not_applicable")=0,"",COUNTIF(B197:J197,"yes")/(9-COUNTIF(B197:J197,"not_applicable"))))</x:f>
      </x:c>
      <x:c r="L197" s="41"/>
      <x:c r="M197" s="41"/>
      <x:c r="N197" s="43"/>
    </x:row>
    <x:row r="198">
      <x:c r="A198" s="44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5" t="str">
        <x:f>IF(COUNTA(B198:J198)=0,"",IF(9-COUNTIF(B198:J198,"not_applicable")=0,"",COUNTIF(B198:J198,"yes")/(9-COUNTIF(B198:J198,"not_applicable"))))</x:f>
      </x:c>
      <x:c r="L198" s="41"/>
      <x:c r="M198" s="41"/>
      <x:c r="N198" s="43"/>
    </x:row>
    <x:row r="199">
      <x:c r="A199" s="44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5" t="str">
        <x:f>IF(COUNTA(B199:J199)=0,"",IF(9-COUNTIF(B199:J199,"not_applicable")=0,"",COUNTIF(B199:J199,"yes")/(9-COUNTIF(B199:J199,"not_applicable"))))</x:f>
      </x:c>
      <x:c r="L199" s="41"/>
      <x:c r="M199" s="41"/>
      <x:c r="N199" s="43"/>
    </x:row>
    <x:row r="200">
      <x:c r="A200" s="44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5" t="str">
        <x:f>IF(COUNTA(B200:J200)=0,"",IF(9-COUNTIF(B200:J200,"not_applicable")=0,"",COUNTIF(B200:J200,"yes")/(9-COUNTIF(B200:J200,"not_applicable"))))</x:f>
      </x:c>
      <x:c r="L200" s="41"/>
      <x:c r="M200" s="41"/>
      <x:c r="N200" s="43"/>
    </x:row>
    <x:row r="201">
      <x:c r="A201" s="44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5" t="str">
        <x:f>IF(COUNTA(B201:J201)=0,"",IF(9-COUNTIF(B201:J201,"not_applicable")=0,"",COUNTIF(B201:J201,"yes")/(9-COUNTIF(B201:J201,"not_applicable"))))</x:f>
      </x:c>
      <x:c r="L201" s="41"/>
      <x:c r="M201" s="41"/>
      <x:c r="N201" s="43"/>
    </x:row>
  </x:sheetData>
  <x:conditionalFormatting sqref="K2:K201">
    <x:cfRule type="expression" dxfId="3" priority="1">
      <x:formula>AND(ISNUMBER(K2),K2&lt;0.5)</x:formula>
    </x:cfRule>
    <x:cfRule type="expression" dxfId="4" priority="2">
      <x:formula>AND(ISNUMBER(K2),K2&gt;=0.5,K2&lt;0.75)</x:formula>
    </x:cfRule>
    <x:cfRule type="expression" dxfId="5" priority="3">
      <x:formula>AND(ISNUMBER(K2),K2&gt;=0.75)</x:formula>
    </x:cfRule>
  </x:conditionalFormatting>
  <x:dataValidations count="1">
    <x:dataValidation type="list" sqref="B2:J201">
      <x:formula1>"yes,no,unclear,not_applicable"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95d5ed417048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62" hidden="0" customWidth="1"/>
  </x:cols>
  <x:sheetData>
    <x:row r="1">
      <x:c r="A1" s="13" t="str">
        <x:v>Category</x:v>
      </x:c>
      <x:c r="B1" s="38" t="str">
        <x:v>Value</x:v>
      </x:c>
      <x:c r="C1" s="14" t="str">
        <x:v>Definition / usage note</x:v>
      </x:c>
    </x:row>
    <x:row r="2">
      <x:c r="A2" s="27" t="str">
        <x:v>Screening decision</x:v>
      </x:c>
      <x:c r="B2" s="52" t="str">
        <x:v>not_screened</x:v>
      </x:c>
      <x:c r="C2" s="28" t="str">
        <x:v>No decision recorded</x:v>
      </x:c>
    </x:row>
    <x:row r="3">
      <x:c r="A3" s="29" t="str">
        <x:v>Screening decision</x:v>
      </x:c>
      <x:c r="B3" s="53" t="str">
        <x:v>include</x:v>
      </x:c>
      <x:c r="C3" s="30" t="str">
        <x:v>Meets criteria at this stage</x:v>
      </x:c>
    </x:row>
    <x:row r="4">
      <x:c r="A4" s="29" t="str">
        <x:v>Screening decision</x:v>
      </x:c>
      <x:c r="B4" s="53" t="str">
        <x:v>exclude</x:v>
      </x:c>
      <x:c r="C4" s="30" t="str">
        <x:v>Does not meet criteria; reason required</x:v>
      </x:c>
    </x:row>
    <x:row r="5">
      <x:c r="A5" s="29" t="str">
        <x:v>Screening decision</x:v>
      </x:c>
      <x:c r="B5" s="53" t="str">
        <x:v>maybe</x:v>
      </x:c>
      <x:c r="C5" s="30" t="str">
        <x:v>Ambiguous; requires explicit resolution</x:v>
      </x:c>
    </x:row>
    <x:row r="6">
      <x:c r="A6" s="29" t="str">
        <x:v>Full-text status</x:v>
      </x:c>
      <x:c r="B6" s="53" t="str">
        <x:v>not_sought</x:v>
      </x:c>
      <x:c r="C6" s="30" t="str">
        <x:v>Full text not yet requested</x:v>
      </x:c>
    </x:row>
    <x:row r="7">
      <x:c r="A7" s="29" t="str">
        <x:v>Full-text status</x:v>
      </x:c>
      <x:c r="B7" s="53" t="str">
        <x:v>retrieved</x:v>
      </x:c>
      <x:c r="C7" s="30" t="str">
        <x:v>Full text available for assessment</x:v>
      </x:c>
    </x:row>
    <x:row r="8">
      <x:c r="A8" s="29" t="str">
        <x:v>Full-text status</x:v>
      </x:c>
      <x:c r="B8" s="53" t="str">
        <x:v>not_retrieved</x:v>
      </x:c>
      <x:c r="C8" s="30" t="str">
        <x:v>Sought but unavailable; record reason</x:v>
      </x:c>
    </x:row>
    <x:row r="9">
      <x:c r="A9" s="29" t="str">
        <x:v>Validation level</x:v>
      </x:c>
      <x:c r="B9" s="53" t="str">
        <x:v>theoretical</x:v>
      </x:c>
      <x:c r="C9" s="30" t="str">
        <x:v>Analytical or formal evidence only</x:v>
      </x:c>
    </x:row>
    <x:row r="10">
      <x:c r="A10" s="29" t="str">
        <x:v>Validation level</x:v>
      </x:c>
      <x:c r="B10" s="53" t="str">
        <x:v>simulation</x:v>
      </x:c>
      <x:c r="C10" s="30" t="str">
        <x:v>Offline or model-based simulation</x:v>
      </x:c>
    </x:row>
    <x:row r="11">
      <x:c r="A11" s="29" t="str">
        <x:v>Validation level</x:v>
      </x:c>
      <x:c r="B11" s="53" t="str">
        <x:v>SIL</x:v>
      </x:c>
      <x:c r="C11" s="30" t="str">
        <x:v>Software-in-the-loop</x:v>
      </x:c>
    </x:row>
    <x:row r="12">
      <x:c r="A12" s="29" t="str">
        <x:v>Validation level</x:v>
      </x:c>
      <x:c r="B12" s="53" t="str">
        <x:v>HIL</x:v>
      </x:c>
      <x:c r="C12" s="30" t="str">
        <x:v>Hardware-in-the-loop</x:v>
      </x:c>
    </x:row>
    <x:row r="13">
      <x:c r="A13" s="29" t="str">
        <x:v>Validation level</x:v>
      </x:c>
      <x:c r="B13" s="53" t="str">
        <x:v>flight test</x:v>
      </x:c>
      <x:c r="C13" s="30" t="str">
        <x:v>Physical flight evidence</x:v>
      </x:c>
    </x:row>
    <x:row r="14">
      <x:c r="A14" s="29" t="str">
        <x:v>Validation level</x:v>
      </x:c>
      <x:c r="B14" s="53" t="str">
        <x:v>mixed</x:v>
      </x:c>
      <x:c r="C14" s="30" t="str">
        <x:v>More than one validation level</x:v>
      </x:c>
    </x:row>
    <x:row r="15">
      <x:c r="A15" s="29" t="str">
        <x:v>Missing data</x:v>
      </x:c>
      <x:c r="B15" s="53" t="str">
        <x:v>not_reported</x:v>
      </x:c>
      <x:c r="C15" s="30" t="str">
        <x:v>Source does not report the requested field</x:v>
      </x:c>
    </x:row>
    <x:row r="16">
      <x:c r="A16" s="29" t="str">
        <x:v>Direction</x:v>
      </x:c>
      <x:c r="B16" s="53" t="str">
        <x:v>supports</x:v>
      </x:c>
      <x:c r="C16" s="30" t="str">
        <x:v>Finding supports the scoped proposition</x:v>
      </x:c>
    </x:row>
    <x:row r="17">
      <x:c r="A17" s="29" t="str">
        <x:v>Direction</x:v>
      </x:c>
      <x:c r="B17" s="53" t="str">
        <x:v>contradicts</x:v>
      </x:c>
      <x:c r="C17" s="30" t="str">
        <x:v>Finding contradicts the scoped proposition</x:v>
      </x:c>
    </x:row>
    <x:row r="18">
      <x:c r="A18" s="29" t="str">
        <x:v>Direction</x:v>
      </x:c>
      <x:c r="B18" s="53" t="str">
        <x:v>mixed</x:v>
      </x:c>
      <x:c r="C18" s="30" t="str">
        <x:v>Finding contains both supporting and conflicting evidence</x:v>
      </x:c>
    </x:row>
    <x:row r="19">
      <x:c r="A19" s="29" t="str">
        <x:v>Direction</x:v>
      </x:c>
      <x:c r="B19" s="53" t="str">
        <x:v>neutral</x:v>
      </x:c>
      <x:c r="C19" s="30" t="str">
        <x:v>Descriptive or not directional</x:v>
      </x:c>
    </x:row>
    <x:row r="20">
      <x:c r="A20" s="29" t="str">
        <x:v>Appraisal</x:v>
      </x:c>
      <x:c r="B20" s="53" t="str">
        <x:v>yes</x:v>
      </x:c>
      <x:c r="C20" s="30" t="str">
        <x:v>Criterion clearly met</x:v>
      </x:c>
    </x:row>
    <x:row r="21">
      <x:c r="A21" s="29" t="str">
        <x:v>Appraisal</x:v>
      </x:c>
      <x:c r="B21" s="53" t="str">
        <x:v>no</x:v>
      </x:c>
      <x:c r="C21" s="30" t="str">
        <x:v>Criterion clearly not met</x:v>
      </x:c>
    </x:row>
    <x:row r="22">
      <x:c r="A22" s="29" t="str">
        <x:v>Appraisal</x:v>
      </x:c>
      <x:c r="B22" s="53" t="str">
        <x:v>unclear</x:v>
      </x:c>
      <x:c r="C22" s="30" t="str">
        <x:v>Insufficient reporting to decide</x:v>
      </x:c>
    </x:row>
    <x:row r="23">
      <x:c r="A23" s="29" t="str">
        <x:v>Appraisal</x:v>
      </x:c>
      <x:c r="B23" s="53" t="str">
        <x:v>not_applicable</x:v>
      </x:c>
      <x:c r="C23" s="30" t="str">
        <x:v>Criterion does not apply; explain in notes</x:v>
      </x:c>
    </x:row>
    <x:row r="24">
      <x:c r="A24" s="29" t="str">
        <x:v>Exclusion reason</x:v>
      </x:c>
      <x:c r="B24" s="53" t="str">
        <x:v>wrong_topic</x:v>
      </x:c>
      <x:c r="C24" s="30" t="str">
        <x:v>Does not address a review objective</x:v>
      </x:c>
    </x:row>
    <x:row r="25">
      <x:c r="A25" s="29" t="str">
        <x:v>Exclusion reason</x:v>
      </x:c>
      <x:c r="B25" s="53" t="str">
        <x:v>wrong_population_or_platform</x:v>
      </x:c>
      <x:c r="C25" s="30" t="str">
        <x:v>Context is not relevant or transferable</x:v>
      </x:c>
    </x:row>
    <x:row r="26">
      <x:c r="A26" s="29" t="str">
        <x:v>Exclusion reason</x:v>
      </x:c>
      <x:c r="B26" s="53" t="str">
        <x:v>wrong_publication_type</x:v>
      </x:c>
      <x:c r="C26" s="30" t="str">
        <x:v>Fails publication-type criterion</x:v>
      </x:c>
    </x:row>
    <x:row r="27">
      <x:c r="A27" s="29" t="str">
        <x:v>Exclusion reason</x:v>
      </x:c>
      <x:c r="B27" s="53" t="str">
        <x:v>insufficient_method_or_evidence</x:v>
      </x:c>
      <x:c r="C27" s="30" t="str">
        <x:v>Insufficient detail for extraction</x:v>
      </x:c>
    </x:row>
    <x:row r="28">
      <x:c r="A28" s="29" t="str">
        <x:v>Exclusion reason</x:v>
      </x:c>
      <x:c r="B28" s="53" t="str">
        <x:v>duplicate_report</x:v>
      </x:c>
      <x:c r="C28" s="30" t="str">
        <x:v>More complete companion report retained</x:v>
      </x:c>
    </x:row>
    <x:row r="29">
      <x:c r="A29" s="29" t="str">
        <x:v>Exclusion reason</x:v>
      </x:c>
      <x:c r="B29" s="53" t="str">
        <x:v>full_text_unavailable</x:v>
      </x:c>
      <x:c r="C29" s="30" t="str">
        <x:v>Full text could not be assessed</x:v>
      </x:c>
    </x:row>
    <x:row r="30">
      <x:c r="A30" s="31" t="str">
        <x:v>Exclusion reason</x:v>
      </x:c>
      <x:c r="B30" s="54" t="str">
        <x:v>language</x:v>
      </x:c>
      <x:c r="C30" s="32" t="str">
        <x:v>Outside approved language scope</x:v>
      </x:c>
    </x:row>
  </x:sheetData>
  <x:pageMargins left="0.7" right="0.7" top="0.75" bottom="0.75" header="0.3" footer="0.3"/>
  <x:tableParts count="1">
    <x:tablePart xmlns:r="http://schemas.openxmlformats.org/officeDocument/2006/relationships" r:id="R326b75e3a17a42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5" hidden="0" customWidth="1"/>
    <x:col min="4" max="4" width="24" hidden="0" customWidth="1"/>
    <x:col min="5" max="5" width="14" hidden="0" customWidth="1"/>
  </x:cols>
  <x:sheetData>
    <x:row r="1" ht="32" customHeight="1">
      <x:c r="A1" s="3" t="str">
        <x:v>Evidence Matrix Summary</x:v>
      </x:c>
      <x:c r="B1" s="3"/>
      <x:c r="C1" s="3"/>
      <x:c r="D1" s="3"/>
      <x:c r="E1" s="3"/>
      <x:c r="F1" s="3"/>
      <x:c r="G1" s="3"/>
      <x:c r="H1" s="3"/>
    </x:row>
    <x:row r="3">
      <x:c r="A3" s="13" t="str">
        <x:v>Measure</x:v>
      </x:c>
      <x:c r="B3" s="14" t="str">
        <x:v>Count</x:v>
      </x:c>
      <x:c r="D3" s="13" t="str">
        <x:v>Validation Level</x:v>
      </x:c>
      <x:c r="E3" s="14" t="str">
        <x:v>Study Count</x:v>
      </x:c>
    </x:row>
    <x:row r="4">
      <x:c r="A4" s="55" t="str">
        <x:v>Studies recorded</x:v>
      </x:c>
      <x:c r="B4" s="64" t="n">
        <x:f>COUNTA('Studies'!$A$2:$A$201)</x:f>
        <x:v>12</x:v>
      </x:c>
      <x:c r="D4" s="15" t="str">
        <x:v>theoretical</x:v>
      </x:c>
      <x:c r="E4" s="67" t="n">
        <x:f>COUNTIF('Studies'!$O$2:$O$201,D4)</x:f>
        <x:v>2</x:v>
      </x:c>
    </x:row>
    <x:row r="5">
      <x:c r="A5" s="57" t="str">
        <x:v>Included studies</x:v>
      </x:c>
      <x:c r="B5" s="65" t="n">
        <x:f>COUNTIF('Studies'!$S$2:$S$201,"include")</x:f>
        <x:v>0</x:v>
      </x:c>
      <x:c r="D5" s="17" t="str">
        <x:v>simulation</x:v>
      </x:c>
      <x:c r="E5" s="68" t="n">
        <x:f>COUNTIF('Studies'!$O$2:$O$201,D5)</x:f>
        <x:v>4</x:v>
      </x:c>
    </x:row>
    <x:row r="6">
      <x:c r="A6" s="57" t="str">
        <x:v>Evidence findings</x:v>
      </x:c>
      <x:c r="B6" s="65" t="n">
        <x:f>COUNTA('Evidence Extraction'!$A$2:$A$301)</x:f>
        <x:v>0</x:v>
      </x:c>
      <x:c r="D6" s="17" t="str">
        <x:v>SIL</x:v>
      </x:c>
      <x:c r="E6" s="68" t="n">
        <x:f>COUNTIF('Studies'!$O$2:$O$201,D6)</x:f>
        <x:v>0</x:v>
      </x:c>
    </x:row>
    <x:row r="7">
      <x:c r="A7" s="57" t="str">
        <x:v>Quality appraisals</x:v>
      </x:c>
      <x:c r="B7" s="65" t="n">
        <x:f>COUNTA('Quality Appraisal'!$A$2:$A$201)</x:f>
        <x:v>0</x:v>
      </x:c>
      <x:c r="D7" s="17" t="str">
        <x:v>HIL</x:v>
      </x:c>
      <x:c r="E7" s="68" t="n">
        <x:f>COUNTIF('Studies'!$O$2:$O$201,D7)</x:f>
        <x:v>0</x:v>
      </x:c>
    </x:row>
    <x:row r="8">
      <x:c r="A8" s="59" t="str">
        <x:v>Studies missing DOI</x:v>
      </x:c>
      <x:c r="B8" s="66" t="n">
        <x:f>COUNTA('Studies'!$A$2:$A$201)-COUNTA('Studies'!$C$2:$C$201)</x:f>
        <x:v>1</x:v>
      </x:c>
      <x:c r="D8" s="17" t="str">
        <x:v>flight test</x:v>
      </x:c>
      <x:c r="E8" s="68" t="n">
        <x:f>COUNTIF('Studies'!$O$2:$O$201,D8)</x:f>
        <x:v>4</x:v>
      </x:c>
    </x:row>
    <x:row r="9">
      <x:c r="D9" s="17" t="str">
        <x:v>mixed</x:v>
      </x:c>
      <x:c r="E9" s="68" t="n">
        <x:f>COUNTIF('Studies'!$O$2:$O$201,D9)</x:f>
        <x:v>2</x:v>
      </x:c>
    </x:row>
    <x:row r="10">
      <x:c r="D10" s="19" t="str">
        <x:v>not_reported</x:v>
      </x:c>
      <x:c r="E10" s="69" t="n">
        <x:f>COUNTIF('Studies'!$O$2:$O$201,D10)</x:f>
        <x:v>0</x:v>
      </x:c>
    </x:row>
    <x:row r="12" ht="30" customHeight="1">
      <x:c r="A12" s="71" t="str">
        <x:v>Counts are descriptive and update from populated sheets. They are not performance or novelty claims.</x:v>
      </x:c>
      <x:c r="B12" s="71"/>
      <x:c r="C12" s="71"/>
      <x:c r="D12" s="71"/>
      <x:c r="E12" s="71"/>
      <x:c r="F12" s="71"/>
      <x:c r="G12" s="71"/>
      <x:c r="H12" s="71"/>
    </x:row>
  </x:sheetData>
  <x:mergeCells>
    <x:mergeCell ref="A1:H1"/>
    <x:mergeCell ref="A12:H12"/>
  </x:mergeCells>
  <x:pageMargins left="0.7" right="0.7" top="0.75" bottom="0.75" header="0.3" footer="0.3"/>
</x:worksheet>
</file>